
<file path=[Content_Types].xml><?xml version="1.0" encoding="utf-8"?>
<Types xmlns="http://schemas.openxmlformats.org/package/2006/content-types">
  <Default Extension="data" ContentType="application/vnd.openxmlformats-officedocument.model+data"/>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DRAVID\anaconda_project\excel_project\"/>
    </mc:Choice>
  </mc:AlternateContent>
  <xr:revisionPtr revIDLastSave="0" documentId="13_ncr:1_{250C5803-2B86-44CA-BE27-392CE901FDD8}" xr6:coauthVersionLast="47" xr6:coauthVersionMax="47" xr10:uidLastSave="{00000000-0000-0000-0000-000000000000}"/>
  <bookViews>
    <workbookView xWindow="-108" yWindow="-108" windowWidth="23256" windowHeight="12456" activeTab="1" xr2:uid="{A4DE2B8F-2D9D-4C2D-BB17-70F187841754}"/>
  </bookViews>
  <sheets>
    <sheet name="pivot report" sheetId="1" r:id="rId1"/>
    <sheet name="dhashbord sheet" sheetId="2" r:id="rId2"/>
    <sheet name="chart_details" sheetId="3" r:id="rId3"/>
  </sheets>
  <definedNames>
    <definedName name="Slicer_dates__Month">#N/A</definedName>
    <definedName name="Slicer_dates__Yea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897f5ac3-7e45-4447-ab3c-4c4a95b574c6" name="Hospital Emergency Room Data" connection="Query - Hospital Emergency Room Data"/>
          <x15:modelTable id="calculate_query_65d0224c-f0ab-4235-b6a5-45cd55e10d46" name="calculate_query" connection="Query - calculate_query"/>
        </x15:modelTables>
        <x15:modelRelationships>
          <x15:modelRelationship fromTable="Hospital Emergency Room Data" fromColumn="Patient Admission Date.1" toTable="calculate_query" toColumn="dates"/>
        </x15:modelRelationships>
        <x15:extLst>
          <ext xmlns:x16="http://schemas.microsoft.com/office/spreadsheetml/2014/11/main" uri="{9835A34E-60A6-4A7C-AAB8-D5F71C897F49}">
            <x16:modelTimeGroupings>
              <x16:modelTimeGrouping tableName="calculate_query" columnName="dates" columnId="dates">
                <x16:calculatedTimeColumn columnName="dates (Year)" columnId="dates (Year)" contentType="years" isSelected="0"/>
                <x16:calculatedTimeColumn columnName="dates (Quarter)" columnId="dates (Quarter)" contentType="quarters" isSelected="0"/>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1"/>
                <x16:calculatedTimeColumn columnName="dates (Day)" columnId="dates (Day)" contentType="day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1" i="1" l="1"/>
  <c r="C51" i="1"/>
  <c r="A51" i="1"/>
  <c r="B52" i="1"/>
  <c r="C52" i="1"/>
  <c r="A5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260C945-77B4-419D-BC44-88712CE9752E}" name="Query - calculate_query" description="Connection to the 'calculate_query' query in the workbook." type="100" refreshedVersion="8" minRefreshableVersion="5">
    <extLst>
      <ext xmlns:x15="http://schemas.microsoft.com/office/spreadsheetml/2010/11/main" uri="{DE250136-89BD-433C-8126-D09CA5730AF9}">
        <x15:connection id="abcb706f-ab80-4c78-b361-9253c7f39ea9"/>
      </ext>
    </extLst>
  </connection>
  <connection id="2" xr16:uid="{E6673BF3-ABC8-4E8E-976A-115DA952DDB3}"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eba1d835-8a5b-40c3-874c-b75e35ffa332"/>
      </ext>
    </extLst>
  </connection>
  <connection id="3" xr16:uid="{4ADA86C2-4A82-4B51-B30A-7851CB498EC1}"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<sst xmlns="http://schemas.openxmlformats.org/spreadsheetml/2006/main" count="188" uniqueCount="72">
  <si>
    <t>Count of Patient Id</t>
  </si>
  <si>
    <t>Average of Patient Waittime</t>
  </si>
  <si>
    <t>Average of Patient Satisfaction Score</t>
  </si>
  <si>
    <t>Row Labels</t>
  </si>
  <si>
    <t>Grand Total</t>
  </si>
  <si>
    <t>Distinct Count of Patient Id</t>
  </si>
  <si>
    <t xml:space="preserve">daily trend of no of patient </t>
  </si>
  <si>
    <t>avg wait time</t>
  </si>
  <si>
    <t>Sum of Patient Satisfaction Score</t>
  </si>
  <si>
    <t>Count of Patient Admission Flag</t>
  </si>
  <si>
    <t>Admitted</t>
  </si>
  <si>
    <t>Not Admitted</t>
  </si>
  <si>
    <t>Count of Patient Admission Flag2</t>
  </si>
  <si>
    <t xml:space="preserve">admission status </t>
  </si>
  <si>
    <t xml:space="preserve">no. of Patient </t>
  </si>
  <si>
    <t xml:space="preserve">% status </t>
  </si>
  <si>
    <t>Count of age group</t>
  </si>
  <si>
    <t>0-09</t>
  </si>
  <si>
    <t>10-19</t>
  </si>
  <si>
    <t>20-29</t>
  </si>
  <si>
    <t>30-39</t>
  </si>
  <si>
    <t>40-49</t>
  </si>
  <si>
    <t>50-59</t>
  </si>
  <si>
    <t>60-69</t>
  </si>
  <si>
    <t>70-79</t>
  </si>
  <si>
    <t>Delay</t>
  </si>
  <si>
    <t>Ontime</t>
  </si>
  <si>
    <t>Count of Patient Gender</t>
  </si>
  <si>
    <t>Female</t>
  </si>
  <si>
    <t>Male</t>
  </si>
  <si>
    <t>Cardiology</t>
  </si>
  <si>
    <t>Gastroenterology</t>
  </si>
  <si>
    <t>General Practice</t>
  </si>
  <si>
    <t>Neurology</t>
  </si>
  <si>
    <t>None</t>
  </si>
  <si>
    <t>Orthopedics</t>
  </si>
  <si>
    <t>Physiotherapy</t>
  </si>
  <si>
    <t>Renal</t>
  </si>
  <si>
    <t>Qtr3</t>
  </si>
  <si>
    <t>1-Aug</t>
  </si>
  <si>
    <t>2-Aug</t>
  </si>
  <si>
    <t>3-Aug</t>
  </si>
  <si>
    <t>4-Aug</t>
  </si>
  <si>
    <t>5-Aug</t>
  </si>
  <si>
    <t>6-Aug</t>
  </si>
  <si>
    <t>7-Aug</t>
  </si>
  <si>
    <t>8-Aug</t>
  </si>
  <si>
    <t>9-Aug</t>
  </si>
  <si>
    <t>10-Aug</t>
  </si>
  <si>
    <t>11-Aug</t>
  </si>
  <si>
    <t>12-Aug</t>
  </si>
  <si>
    <t>13-Aug</t>
  </si>
  <si>
    <t>14-Aug</t>
  </si>
  <si>
    <t>15-Aug</t>
  </si>
  <si>
    <t>16-Aug</t>
  </si>
  <si>
    <t>17-Aug</t>
  </si>
  <si>
    <t>18-Aug</t>
  </si>
  <si>
    <t>19-Aug</t>
  </si>
  <si>
    <t>20-Aug</t>
  </si>
  <si>
    <t>21-Aug</t>
  </si>
  <si>
    <t>22-Aug</t>
  </si>
  <si>
    <t>23-Aug</t>
  </si>
  <si>
    <t>24-Aug</t>
  </si>
  <si>
    <t>25-Aug</t>
  </si>
  <si>
    <t>26-Aug</t>
  </si>
  <si>
    <t>27-Aug</t>
  </si>
  <si>
    <t>28-Aug</t>
  </si>
  <si>
    <t>29-Aug</t>
  </si>
  <si>
    <t>30-Aug</t>
  </si>
  <si>
    <t>31-Aug</t>
  </si>
  <si>
    <t>Aug</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</si>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</sst>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5" tint="-0.249977111117893"/>
        <bgColor indexed="64"/>
      </patternFill>
    </fill>
    <fill>
      <patternFill patternType="solid">
        <fgColor theme="5" tint="0.3999755851924192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3">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10" fontId="0" fillId="0" borderId="0" xfId="0" applyNumberFormat="1"/>
    <xf numFmtId="0" fontId="0" fillId="2" borderId="0" xfId="0" applyFill="1" applyAlignment="1">
      <alignment horizontal="center" vertical="center"/>
    </xf>
    <xf numFmtId="0" fontId="0" fillId="3" borderId="0" xfId="0" applyFill="1" applyAlignment="1">
      <alignment horizontal="center" vertical="center"/>
    </xf>
    <xf numFmtId="9" fontId="0" fillId="3" borderId="0" xfId="1" applyFont="1" applyFill="1" applyAlignment="1">
      <alignment horizontal="center" vertical="center"/>
    </xf>
    <xf numFmtId="0" fontId="2" fillId="2" borderId="0" xfId="0" applyFont="1" applyFill="1" applyAlignment="1">
      <alignment horizontal="center" vertical="center"/>
    </xf>
    <xf numFmtId="1" fontId="0" fillId="0" borderId="0" xfId="0" applyNumberFormat="1"/>
    <xf numFmtId="0" fontId="0" fillId="0" borderId="0" xfId="0" applyAlignment="1">
      <alignment horizontal="left" indent="1"/>
    </xf>
    <xf numFmtId="0" fontId="0" fillId="0" borderId="0" xfId="0" applyAlignment="1">
      <alignment horizontal="left" indent="2"/>
    </xf>
  </cellXfs>
  <cellStyles count="2">
    <cellStyle name="Normal" xfId="0" builtinId="0"/>
    <cellStyle name="Percent" xfId="1" builtinId="5"/>
  </cellStyles>
  <dxfs count="20">
    <dxf>
      <numFmt numFmtId="1" formatCode="0"/>
    </dxf>
    <dxf>
      <numFmt numFmtId="2" formatCode="0.00"/>
    </dxf>
    <dxf>
      <numFmt numFmtId="1" formatCode="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1" formatCode="0"/>
    </dxf>
    <dxf>
      <numFmt numFmtId="2" formatCode="0.00"/>
    </dxf>
    <dxf>
      <numFmt numFmtId="1" formatCode="0"/>
    </dxf>
    <dxf>
      <numFmt numFmtId="1" formatCode="0"/>
    </dxf>
    <dxf>
      <numFmt numFmtId="2" formatCode="0.00"/>
    </dxf>
    <dxf>
      <font>
        <color theme="0"/>
      </font>
    </dxf>
    <dxf>
      <font>
        <b/>
        <color theme="1"/>
      </font>
      <border>
        <bottom style="thin">
          <color theme="5"/>
        </bottom>
        <vertical/>
        <horizontal/>
      </border>
    </dxf>
    <dxf>
      <font>
        <color theme="1"/>
      </font>
      <border diagonalUp="0" diagonalDown="0">
        <left/>
        <right/>
        <top/>
        <bottom/>
        <vertical/>
        <horizontal/>
      </border>
    </dxf>
  </dxfs>
  <tableStyles count="2" defaultTableStyle="TableStyleMedium2" defaultPivotStyle="PivotStyleLight16">
    <tableStyle name="mystyle" pivot="0" table="0" count="10" xr9:uid="{1D9CAC59-47BB-478C-9C98-ADDD4E99CE24}">
      <tableStyleElement type="wholeTable" dxfId="19"/>
      <tableStyleElement type="headerRow" dxfId="18"/>
    </tableStyle>
    <tableStyle name="Slicer Style 1" pivot="0" table="0" count="1" xr9:uid="{4F01DE49-C723-4922-9944-315C242C585A}">
      <tableStyleElement type="wholeTable" dxfId="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07/relationships/slicerCache" Target="slicerCaches/slicerCache2.xml"/><Relationship Id="rId34" Type="http://schemas.openxmlformats.org/officeDocument/2006/relationships/customXml" Target="../customXml/item7.xml"/><Relationship Id="rId42" Type="http://schemas.openxmlformats.org/officeDocument/2006/relationships/customXml" Target="../customXml/item15.xml"/><Relationship Id="rId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31" Type="http://schemas.openxmlformats.org/officeDocument/2006/relationships/customXml" Target="../customXml/item4.xml"/><Relationship Id="rId44" Type="http://schemas.openxmlformats.org/officeDocument/2006/relationships/customXml" Target="../customXml/item17.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8" Type="http://schemas.openxmlformats.org/officeDocument/2006/relationships/pivotCacheDefinition" Target="pivotCache/pivotCacheDefinition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20" Type="http://schemas.microsoft.com/office/2007/relationships/slicerCache" Target="slicerCaches/slicerCache1.xml"/><Relationship Id="rId41"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report!PivotTable6</c:name>
    <c:fmtId val="0"/>
  </c:pivotSource>
  <c:chart>
    <c:autoTitleDeleted val="0"/>
    <c:pivotFmts>
      <c:pivotFmt>
        <c:idx val="0"/>
        <c:spPr>
          <a:solidFill>
            <a:schemeClr val="accent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18074F3A-2AC8-4CC5-BC8E-F601C3DCE1C2}" type="CELLRANGE">
                  <a:rPr lang="en-US"/>
                  <a:pPr>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372700443864844"/>
                  <c:h val="0.34869521513440493"/>
                </c:manualLayout>
              </c15:layout>
              <c15:dlblFieldTable/>
              <c15:showDataLabelsRange val="1"/>
            </c:ext>
          </c:extLst>
        </c:dLbl>
      </c:pivotFmt>
      <c:pivotFmt>
        <c:idx val="3"/>
        <c:spPr>
          <a:solidFill>
            <a:schemeClr val="accent2">
              <a:lumMod val="50000"/>
            </a:schemeClr>
          </a:solidFill>
          <a:ln>
            <a:noFill/>
          </a:ln>
          <a:effectLst/>
        </c:spPr>
        <c:dLbl>
          <c:idx val="0"/>
          <c:layout>
            <c:manualLayout>
              <c:x val="0"/>
              <c:y val="-9.8580861086122267E-17"/>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   </a:t>
                </a:r>
                <a:fld id="{EC9FD1C9-9C1E-4544-A0B1-8ACC545B9D81}" type="CELLRANGE">
                  <a:rPr lang="en-US"/>
                  <a:pPr>
                    <a:defRPr/>
                  </a:pPr>
                  <a:t>[CELLRANGE]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layout>
                <c:manualLayout>
                  <c:w val="0.45372700443864844"/>
                  <c:h val="0.34869521513440493"/>
                </c:manualLayout>
              </c15:layout>
              <c15:dlblFieldTable/>
              <c15:showDataLabelsRange val="1"/>
            </c:ext>
          </c:extLst>
        </c:dLbl>
      </c:pivotFmt>
    </c:pivotFmts>
    <c:plotArea>
      <c:layout>
        <c:manualLayout>
          <c:layoutTarget val="inner"/>
          <c:xMode val="edge"/>
          <c:yMode val="edge"/>
          <c:x val="0.11285314066170554"/>
          <c:y val="0.19657251823326194"/>
          <c:w val="0.77429371867658892"/>
          <c:h val="0.71169363992454915"/>
        </c:manualLayout>
      </c:layout>
      <c:barChart>
        <c:barDir val="bar"/>
        <c:grouping val="clustered"/>
        <c:varyColors val="0"/>
        <c:ser>
          <c:idx val="0"/>
          <c:order val="0"/>
          <c:tx>
            <c:strRef>
              <c:f>'pivot report'!$B$44</c:f>
              <c:strCache>
                <c:ptCount val="1"/>
                <c:pt idx="0">
                  <c:v>Count of Patient Admission Flag</c:v>
                </c:pt>
              </c:strCache>
            </c:strRef>
          </c:tx>
          <c:spPr>
            <a:solidFill>
              <a:schemeClr val="accent2">
                <a:lumMod val="50000"/>
              </a:schemeClr>
            </a:solidFill>
            <a:ln>
              <a:noFill/>
            </a:ln>
            <a:effectLst/>
          </c:spPr>
          <c:invertIfNegative val="0"/>
          <c:dPt>
            <c:idx val="0"/>
            <c:invertIfNegative val="0"/>
            <c:bubble3D val="0"/>
            <c:extLst>
              <c:ext xmlns:c16="http://schemas.microsoft.com/office/drawing/2014/chart" uri="{C3380CC4-5D6E-409C-BE32-E72D297353CC}">
                <c16:uniqueId val="{00000000-49DD-436D-9985-750AF1699109}"/>
              </c:ext>
            </c:extLst>
          </c:dPt>
          <c:dPt>
            <c:idx val="1"/>
            <c:invertIfNegative val="0"/>
            <c:bubble3D val="0"/>
            <c:extLst>
              <c:ext xmlns:c16="http://schemas.microsoft.com/office/drawing/2014/chart" uri="{C3380CC4-5D6E-409C-BE32-E72D297353CC}">
                <c16:uniqueId val="{00000001-49DD-436D-9985-750AF1699109}"/>
              </c:ext>
            </c:extLst>
          </c:dPt>
          <c:dLbls>
            <c:dLbl>
              <c:idx val="0"/>
              <c:layout>
                <c:manualLayout>
                  <c:x val="0"/>
                  <c:y val="-9.8580861086122267E-17"/>
                </c:manualLayout>
              </c:layout>
              <c:tx>
                <c:rich>
                  <a:bodyPr/>
                  <a:lstStyle/>
                  <a:p>
                    <a:r>
                      <a:rPr lang="en-US"/>
                      <a:t>   </a:t>
                    </a:r>
                    <a:fld id="{EC9FD1C9-9C1E-4544-A0B1-8ACC545B9D81}"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layout>
                    <c:manualLayout>
                      <c:w val="0.45372700443864844"/>
                      <c:h val="0.34869521513440493"/>
                    </c:manualLayout>
                  </c15:layout>
                  <c15:dlblFieldTable/>
                  <c15:showDataLabelsRange val="1"/>
                </c:ext>
                <c:ext xmlns:c16="http://schemas.microsoft.com/office/drawing/2014/chart" uri="{C3380CC4-5D6E-409C-BE32-E72D297353CC}">
                  <c16:uniqueId val="{00000000-49DD-436D-9985-750AF1699109}"/>
                </c:ext>
              </c:extLst>
            </c:dLbl>
            <c:dLbl>
              <c:idx val="1"/>
              <c:tx>
                <c:rich>
                  <a:bodyPr/>
                  <a:lstStyle/>
                  <a:p>
                    <a:fld id="{18074F3A-2AC8-4CC5-BC8E-F601C3DCE1C2}"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layout>
                    <c:manualLayout>
                      <c:w val="0.45372700443864844"/>
                      <c:h val="0.34869521513440493"/>
                    </c:manualLayout>
                  </c15:layout>
                  <c15:dlblFieldTable/>
                  <c15:showDataLabelsRange val="1"/>
                </c:ext>
                <c:ext xmlns:c16="http://schemas.microsoft.com/office/drawing/2014/chart" uri="{C3380CC4-5D6E-409C-BE32-E72D297353CC}">
                  <c16:uniqueId val="{00000001-49DD-436D-9985-750AF169910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report'!$A$45:$A$47</c:f>
              <c:strCache>
                <c:ptCount val="2"/>
                <c:pt idx="0">
                  <c:v>Admitted</c:v>
                </c:pt>
                <c:pt idx="1">
                  <c:v>Not Admitted</c:v>
                </c:pt>
              </c:strCache>
            </c:strRef>
          </c:cat>
          <c:val>
            <c:numRef>
              <c:f>'pivot report'!$B$45:$B$47</c:f>
              <c:numCache>
                <c:formatCode>0.00</c:formatCode>
                <c:ptCount val="2"/>
                <c:pt idx="0">
                  <c:v>242</c:v>
                </c:pt>
                <c:pt idx="1">
                  <c:v>288</c:v>
                </c:pt>
              </c:numCache>
            </c:numRef>
          </c:val>
          <c:extLst>
            <c:ext xmlns:c16="http://schemas.microsoft.com/office/drawing/2014/chart" uri="{C3380CC4-5D6E-409C-BE32-E72D297353CC}">
              <c16:uniqueId val="{00000005-0E54-4551-AF7D-C800AFC8EF77}"/>
            </c:ext>
          </c:extLst>
        </c:ser>
        <c:ser>
          <c:idx val="1"/>
          <c:order val="1"/>
          <c:tx>
            <c:strRef>
              <c:f>'pivot report'!$C$44</c:f>
              <c:strCache>
                <c:ptCount val="1"/>
                <c:pt idx="0">
                  <c:v>Count of Patient Admission Flag2</c:v>
                </c:pt>
              </c:strCache>
            </c:strRef>
          </c:tx>
          <c:spPr>
            <a:solidFill>
              <a:schemeClr val="accent2"/>
            </a:solidFill>
            <a:ln>
              <a:noFill/>
            </a:ln>
            <a:effectLst/>
          </c:spPr>
          <c:invertIfNegative val="0"/>
          <c:cat>
            <c:strRef>
              <c:f>'pivot report'!$A$45:$A$47</c:f>
              <c:strCache>
                <c:ptCount val="2"/>
                <c:pt idx="0">
                  <c:v>Admitted</c:v>
                </c:pt>
                <c:pt idx="1">
                  <c:v>Not Admitted</c:v>
                </c:pt>
              </c:strCache>
            </c:strRef>
          </c:cat>
          <c:val>
            <c:numRef>
              <c:f>'pivot report'!$C$45:$C$47</c:f>
              <c:numCache>
                <c:formatCode>0.00%</c:formatCode>
                <c:ptCount val="2"/>
                <c:pt idx="0">
                  <c:v>0.45660377358490567</c:v>
                </c:pt>
                <c:pt idx="1">
                  <c:v>0.54339622641509433</c:v>
                </c:pt>
              </c:numCache>
            </c:numRef>
          </c:val>
          <c:extLst>
            <c:ext xmlns:c16="http://schemas.microsoft.com/office/drawing/2014/chart" uri="{C3380CC4-5D6E-409C-BE32-E72D297353CC}">
              <c16:uniqueId val="{00000006-0E54-4551-AF7D-C800AFC8EF77}"/>
            </c:ext>
          </c:extLst>
        </c:ser>
        <c:dLbls>
          <c:showLegendKey val="0"/>
          <c:showVal val="0"/>
          <c:showCatName val="0"/>
          <c:showSerName val="0"/>
          <c:showPercent val="0"/>
          <c:showBubbleSize val="0"/>
        </c:dLbls>
        <c:gapWidth val="136"/>
        <c:overlap val="50"/>
        <c:axId val="724018703"/>
        <c:axId val="857932719"/>
      </c:barChart>
      <c:catAx>
        <c:axId val="724018703"/>
        <c:scaling>
          <c:orientation val="minMax"/>
        </c:scaling>
        <c:delete val="1"/>
        <c:axPos val="l"/>
        <c:numFmt formatCode="General" sourceLinked="1"/>
        <c:majorTickMark val="none"/>
        <c:minorTickMark val="none"/>
        <c:tickLblPos val="nextTo"/>
        <c:crossAx val="857932719"/>
        <c:crosses val="autoZero"/>
        <c:auto val="1"/>
        <c:lblAlgn val="ctr"/>
        <c:lblOffset val="100"/>
        <c:noMultiLvlLbl val="0"/>
      </c:catAx>
      <c:valAx>
        <c:axId val="857932719"/>
        <c:scaling>
          <c:orientation val="minMax"/>
        </c:scaling>
        <c:delete val="1"/>
        <c:axPos val="b"/>
        <c:numFmt formatCode="0.00" sourceLinked="1"/>
        <c:majorTickMark val="none"/>
        <c:minorTickMark val="none"/>
        <c:tickLblPos val="nextTo"/>
        <c:crossAx val="724018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report!PivotTable7</c:name>
    <c:fmtId val="29"/>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2">
              <a:lumMod val="75000"/>
            </a:schemeClr>
          </a:solidFill>
          <a:ln w="25400">
            <a:noFill/>
          </a:ln>
          <a:effectLst/>
        </c:spPr>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3.6394737574055022E-2"/>
          <c:y val="0.11942001366591233"/>
          <c:w val="0.90767386281594187"/>
          <c:h val="0.87763928351687837"/>
        </c:manualLayout>
      </c:layout>
      <c:areaChart>
        <c:grouping val="standard"/>
        <c:varyColors val="0"/>
        <c:ser>
          <c:idx val="0"/>
          <c:order val="0"/>
          <c:tx>
            <c:strRef>
              <c:f>'pivot report'!$I$5</c:f>
              <c:strCache>
                <c:ptCount val="1"/>
                <c:pt idx="0">
                  <c:v>Total</c:v>
                </c:pt>
              </c:strCache>
            </c:strRef>
          </c:tx>
          <c:spPr>
            <a:solidFill>
              <a:schemeClr val="accent2">
                <a:lumMod val="75000"/>
              </a:schemeClr>
            </a:solidFill>
            <a:ln w="25400">
              <a:noFill/>
            </a:ln>
            <a:effectLst/>
          </c:spPr>
          <c:cat>
            <c:strRef>
              <c:f>'pivot report'!$H$6:$H$37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report'!$I$6:$I$37</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3-0668-42D4-A639-E250675578DC}"/>
            </c:ext>
          </c:extLst>
        </c:ser>
        <c:dLbls>
          <c:showLegendKey val="0"/>
          <c:showVal val="0"/>
          <c:showCatName val="0"/>
          <c:showSerName val="0"/>
          <c:showPercent val="0"/>
          <c:showBubbleSize val="0"/>
        </c:dLbls>
        <c:axId val="877188127"/>
        <c:axId val="1424918415"/>
      </c:areaChart>
      <c:catAx>
        <c:axId val="877188127"/>
        <c:scaling>
          <c:orientation val="minMax"/>
        </c:scaling>
        <c:delete val="1"/>
        <c:axPos val="b"/>
        <c:numFmt formatCode="General" sourceLinked="1"/>
        <c:majorTickMark val="out"/>
        <c:minorTickMark val="none"/>
        <c:tickLblPos val="nextTo"/>
        <c:crossAx val="1424918415"/>
        <c:crosses val="autoZero"/>
        <c:auto val="1"/>
        <c:lblAlgn val="ctr"/>
        <c:lblOffset val="100"/>
        <c:noMultiLvlLbl val="0"/>
      </c:catAx>
      <c:valAx>
        <c:axId val="1424918415"/>
        <c:scaling>
          <c:orientation val="minMax"/>
        </c:scaling>
        <c:delete val="1"/>
        <c:axPos val="l"/>
        <c:numFmt formatCode="General" sourceLinked="1"/>
        <c:majorTickMark val="none"/>
        <c:minorTickMark val="none"/>
        <c:tickLblPos val="nextTo"/>
        <c:crossAx val="877188127"/>
        <c:crosses val="autoZero"/>
        <c:crossBetween val="midCat"/>
      </c:valAx>
      <c:spPr>
        <a:noFill/>
        <a:ln>
          <a:noFill/>
        </a:ln>
      </c:spPr>
    </c:plotArea>
    <c:plotVisOnly val="1"/>
    <c:dispBlanksAs val="zero"/>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report!PivotTable8</c:name>
    <c:fmtId val="4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157911684520109E-2"/>
          <c:y val="0.23270429879964893"/>
          <c:w val="0.87342102115731979"/>
          <c:h val="0.63930833686054411"/>
        </c:manualLayout>
      </c:layout>
      <c:areaChart>
        <c:grouping val="standard"/>
        <c:varyColors val="0"/>
        <c:ser>
          <c:idx val="0"/>
          <c:order val="0"/>
          <c:tx>
            <c:strRef>
              <c:f>'pivot report'!$L$5</c:f>
              <c:strCache>
                <c:ptCount val="1"/>
                <c:pt idx="0">
                  <c:v>Total</c:v>
                </c:pt>
              </c:strCache>
            </c:strRef>
          </c:tx>
          <c:spPr>
            <a:solidFill>
              <a:schemeClr val="accent2">
                <a:lumMod val="75000"/>
              </a:schemeClr>
            </a:solidFill>
            <a:ln w="25400">
              <a:noFill/>
            </a:ln>
            <a:effectLst/>
          </c:spPr>
          <c:cat>
            <c:strRef>
              <c:f>'pivot report'!$K$6:$K$37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report'!$L$6:$L$37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3-B30E-459D-A8DC-809E889BFE43}"/>
            </c:ext>
          </c:extLst>
        </c:ser>
        <c:dLbls>
          <c:showLegendKey val="0"/>
          <c:showVal val="0"/>
          <c:showCatName val="0"/>
          <c:showSerName val="0"/>
          <c:showPercent val="0"/>
          <c:showBubbleSize val="0"/>
        </c:dLbls>
        <c:axId val="1543493951"/>
        <c:axId val="1424929935"/>
      </c:areaChart>
      <c:catAx>
        <c:axId val="1543493951"/>
        <c:scaling>
          <c:orientation val="minMax"/>
        </c:scaling>
        <c:delete val="1"/>
        <c:axPos val="b"/>
        <c:numFmt formatCode="General" sourceLinked="1"/>
        <c:majorTickMark val="out"/>
        <c:minorTickMark val="none"/>
        <c:tickLblPos val="nextTo"/>
        <c:crossAx val="1424929935"/>
        <c:crosses val="autoZero"/>
        <c:auto val="1"/>
        <c:lblAlgn val="ctr"/>
        <c:lblOffset val="100"/>
        <c:noMultiLvlLbl val="0"/>
      </c:catAx>
      <c:valAx>
        <c:axId val="1424929935"/>
        <c:scaling>
          <c:orientation val="minMax"/>
        </c:scaling>
        <c:delete val="1"/>
        <c:axPos val="l"/>
        <c:numFmt formatCode="0.00" sourceLinked="1"/>
        <c:majorTickMark val="none"/>
        <c:minorTickMark val="none"/>
        <c:tickLblPos val="nextTo"/>
        <c:crossAx val="154349395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report!PivotTable9</c:name>
    <c:fmtId val="2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lumMod val="75000"/>
            </a:schemeClr>
          </a:solidFill>
          <a:ln>
            <a:noFill/>
          </a:ln>
          <a:effectLst/>
        </c:spPr>
        <c:marker>
          <c:symbol val="circle"/>
          <c:size val="5"/>
          <c:spPr>
            <a:solidFill>
              <a:schemeClr val="accent2">
                <a:lumMod val="75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650273224043716E-2"/>
          <c:y val="0"/>
          <c:w val="0.8797814207650273"/>
          <c:h val="0.90081382839708024"/>
        </c:manualLayout>
      </c:layout>
      <c:areaChart>
        <c:grouping val="standard"/>
        <c:varyColors val="0"/>
        <c:ser>
          <c:idx val="0"/>
          <c:order val="0"/>
          <c:tx>
            <c:strRef>
              <c:f>'pivot report'!$P$5</c:f>
              <c:strCache>
                <c:ptCount val="1"/>
                <c:pt idx="0">
                  <c:v>Total</c:v>
                </c:pt>
              </c:strCache>
            </c:strRef>
          </c:tx>
          <c:spPr>
            <a:solidFill>
              <a:schemeClr val="accent2">
                <a:lumMod val="75000"/>
              </a:schemeClr>
            </a:solidFill>
            <a:ln w="25400">
              <a:noFill/>
            </a:ln>
            <a:effectLst/>
          </c:spPr>
          <c:cat>
            <c:strRef>
              <c:f>'pivot report'!$O$6:$O$36</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report'!$P$6:$P$36</c:f>
              <c:numCache>
                <c:formatCode>General</c:formatCode>
                <c:ptCount val="30"/>
                <c:pt idx="0">
                  <c:v>36</c:v>
                </c:pt>
                <c:pt idx="1">
                  <c:v>28</c:v>
                </c:pt>
                <c:pt idx="2">
                  <c:v>37</c:v>
                </c:pt>
                <c:pt idx="3">
                  <c:v>9</c:v>
                </c:pt>
                <c:pt idx="4">
                  <c:v>24</c:v>
                </c:pt>
                <c:pt idx="5">
                  <c:v>19</c:v>
                </c:pt>
                <c:pt idx="6">
                  <c:v>9</c:v>
                </c:pt>
                <c:pt idx="7">
                  <c:v>12</c:v>
                </c:pt>
                <c:pt idx="8">
                  <c:v>20</c:v>
                </c:pt>
                <c:pt idx="9">
                  <c:v>8</c:v>
                </c:pt>
                <c:pt idx="10">
                  <c:v>11</c:v>
                </c:pt>
                <c:pt idx="11">
                  <c:v>12</c:v>
                </c:pt>
                <c:pt idx="12">
                  <c:v>15</c:v>
                </c:pt>
                <c:pt idx="13">
                  <c:v>22</c:v>
                </c:pt>
                <c:pt idx="14">
                  <c:v>15</c:v>
                </c:pt>
                <c:pt idx="15">
                  <c:v>20</c:v>
                </c:pt>
                <c:pt idx="16">
                  <c:v>7</c:v>
                </c:pt>
                <c:pt idx="17">
                  <c:v>13</c:v>
                </c:pt>
                <c:pt idx="18">
                  <c:v>35</c:v>
                </c:pt>
                <c:pt idx="19">
                  <c:v>9</c:v>
                </c:pt>
                <c:pt idx="20">
                  <c:v>15</c:v>
                </c:pt>
                <c:pt idx="21">
                  <c:v>20</c:v>
                </c:pt>
                <c:pt idx="22">
                  <c:v>4</c:v>
                </c:pt>
                <c:pt idx="23">
                  <c:v>25</c:v>
                </c:pt>
                <c:pt idx="24">
                  <c:v>13</c:v>
                </c:pt>
                <c:pt idx="25">
                  <c:v>24</c:v>
                </c:pt>
                <c:pt idx="26">
                  <c:v>48</c:v>
                </c:pt>
                <c:pt idx="27">
                  <c:v>10</c:v>
                </c:pt>
                <c:pt idx="28">
                  <c:v>20</c:v>
                </c:pt>
                <c:pt idx="29">
                  <c:v>45</c:v>
                </c:pt>
              </c:numCache>
            </c:numRef>
          </c:val>
          <c:extLst>
            <c:ext xmlns:c16="http://schemas.microsoft.com/office/drawing/2014/chart" uri="{C3380CC4-5D6E-409C-BE32-E72D297353CC}">
              <c16:uniqueId val="{00000003-659C-47CE-9705-B7BF76047227}"/>
            </c:ext>
          </c:extLst>
        </c:ser>
        <c:dLbls>
          <c:showLegendKey val="0"/>
          <c:showVal val="0"/>
          <c:showCatName val="0"/>
          <c:showSerName val="0"/>
          <c:showPercent val="0"/>
          <c:showBubbleSize val="0"/>
        </c:dLbls>
        <c:axId val="887197855"/>
        <c:axId val="1424962095"/>
      </c:areaChart>
      <c:catAx>
        <c:axId val="887197855"/>
        <c:scaling>
          <c:orientation val="minMax"/>
        </c:scaling>
        <c:delete val="1"/>
        <c:axPos val="b"/>
        <c:numFmt formatCode="General" sourceLinked="1"/>
        <c:majorTickMark val="out"/>
        <c:minorTickMark val="none"/>
        <c:tickLblPos val="nextTo"/>
        <c:crossAx val="1424962095"/>
        <c:crosses val="autoZero"/>
        <c:auto val="1"/>
        <c:lblAlgn val="ctr"/>
        <c:lblOffset val="100"/>
        <c:noMultiLvlLbl val="0"/>
      </c:catAx>
      <c:valAx>
        <c:axId val="1424962095"/>
        <c:scaling>
          <c:orientation val="minMax"/>
        </c:scaling>
        <c:delete val="1"/>
        <c:axPos val="l"/>
        <c:numFmt formatCode="General" sourceLinked="1"/>
        <c:majorTickMark val="none"/>
        <c:minorTickMark val="none"/>
        <c:tickLblPos val="nextTo"/>
        <c:crossAx val="88719785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report!PivotTable10</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934783316565644E-2"/>
          <c:y val="0.16999411190130723"/>
          <c:w val="0.95197627300165311"/>
          <c:h val="0.70716751101936592"/>
        </c:manualLayout>
      </c:layout>
      <c:barChart>
        <c:barDir val="col"/>
        <c:grouping val="clustered"/>
        <c:varyColors val="0"/>
        <c:ser>
          <c:idx val="0"/>
          <c:order val="0"/>
          <c:tx>
            <c:strRef>
              <c:f>'pivot report'!$B$58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report'!$A$59:$A$67</c:f>
              <c:strCache>
                <c:ptCount val="8"/>
                <c:pt idx="0">
                  <c:v>0-09</c:v>
                </c:pt>
                <c:pt idx="1">
                  <c:v>10-19</c:v>
                </c:pt>
                <c:pt idx="2">
                  <c:v>20-29</c:v>
                </c:pt>
                <c:pt idx="3">
                  <c:v>30-39</c:v>
                </c:pt>
                <c:pt idx="4">
                  <c:v>40-49</c:v>
                </c:pt>
                <c:pt idx="5">
                  <c:v>50-59</c:v>
                </c:pt>
                <c:pt idx="6">
                  <c:v>60-69</c:v>
                </c:pt>
                <c:pt idx="7">
                  <c:v>70-79</c:v>
                </c:pt>
              </c:strCache>
            </c:strRef>
          </c:cat>
          <c:val>
            <c:numRef>
              <c:f>'pivot report'!$B$59:$B$67</c:f>
              <c:numCache>
                <c:formatCode>0.00</c:formatCode>
                <c:ptCount val="8"/>
                <c:pt idx="0">
                  <c:v>63</c:v>
                </c:pt>
                <c:pt idx="1">
                  <c:v>63</c:v>
                </c:pt>
                <c:pt idx="2">
                  <c:v>65</c:v>
                </c:pt>
                <c:pt idx="3">
                  <c:v>60</c:v>
                </c:pt>
                <c:pt idx="4">
                  <c:v>65</c:v>
                </c:pt>
                <c:pt idx="5">
                  <c:v>72</c:v>
                </c:pt>
                <c:pt idx="6">
                  <c:v>73</c:v>
                </c:pt>
                <c:pt idx="7">
                  <c:v>69</c:v>
                </c:pt>
              </c:numCache>
            </c:numRef>
          </c:val>
          <c:extLst>
            <c:ext xmlns:c16="http://schemas.microsoft.com/office/drawing/2014/chart" uri="{C3380CC4-5D6E-409C-BE32-E72D297353CC}">
              <c16:uniqueId val="{00000003-BEF5-4776-BF37-AB4C80440FE4}"/>
            </c:ext>
          </c:extLst>
        </c:ser>
        <c:dLbls>
          <c:showLegendKey val="0"/>
          <c:showVal val="0"/>
          <c:showCatName val="0"/>
          <c:showSerName val="0"/>
          <c:showPercent val="0"/>
          <c:showBubbleSize val="0"/>
        </c:dLbls>
        <c:gapWidth val="131"/>
        <c:overlap val="-27"/>
        <c:axId val="2081329487"/>
        <c:axId val="857911119"/>
      </c:barChart>
      <c:catAx>
        <c:axId val="2081329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57911119"/>
        <c:crosses val="autoZero"/>
        <c:auto val="1"/>
        <c:lblAlgn val="ctr"/>
        <c:lblOffset val="100"/>
        <c:tickLblSkip val="1"/>
        <c:noMultiLvlLbl val="0"/>
      </c:catAx>
      <c:valAx>
        <c:axId val="857911119"/>
        <c:scaling>
          <c:orientation val="minMax"/>
        </c:scaling>
        <c:delete val="1"/>
        <c:axPos val="l"/>
        <c:numFmt formatCode="0.00" sourceLinked="1"/>
        <c:majorTickMark val="none"/>
        <c:minorTickMark val="none"/>
        <c:tickLblPos val="nextTo"/>
        <c:crossAx val="208132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report!PivotTable12</c:name>
    <c:fmtId val="4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230930007813908"/>
              <c:y val="-3.4319961614818859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12001053789742513"/>
              <c:y val="4.8296217386902381E-2"/>
            </c:manualLayout>
          </c:layout>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4.8724986880914513E-2"/>
          <c:y val="0.1247953083800309"/>
          <c:w val="0.56512075313568522"/>
          <c:h val="0.72944554982810306"/>
        </c:manualLayout>
      </c:layout>
      <c:pieChart>
        <c:varyColors val="1"/>
        <c:ser>
          <c:idx val="0"/>
          <c:order val="0"/>
          <c:tx>
            <c:strRef>
              <c:f>'pivot report'!$E$58</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01-F77F-4D4C-839F-3347529A0627}"/>
              </c:ext>
            </c:extLst>
          </c:dPt>
          <c:dPt>
            <c:idx val="1"/>
            <c:bubble3D val="0"/>
            <c:spPr>
              <a:solidFill>
                <a:schemeClr val="accent2"/>
              </a:solidFill>
              <a:ln>
                <a:noFill/>
              </a:ln>
              <a:effectLst/>
            </c:spPr>
            <c:extLst>
              <c:ext xmlns:c16="http://schemas.microsoft.com/office/drawing/2014/chart" uri="{C3380CC4-5D6E-409C-BE32-E72D297353CC}">
                <c16:uniqueId val="{00000003-F77F-4D4C-839F-3347529A0627}"/>
              </c:ext>
            </c:extLst>
          </c:dPt>
          <c:dLbls>
            <c:dLbl>
              <c:idx val="0"/>
              <c:layout>
                <c:manualLayout>
                  <c:x val="-0.20230930007813908"/>
                  <c:y val="-3.4319961614818859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F77F-4D4C-839F-3347529A0627}"/>
                </c:ext>
              </c:extLst>
            </c:dLbl>
            <c:dLbl>
              <c:idx val="1"/>
              <c:layout>
                <c:manualLayout>
                  <c:x val="0.12001053789742513"/>
                  <c:y val="4.8296217386902381E-2"/>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F77F-4D4C-839F-3347529A0627}"/>
                </c:ext>
              </c:extLst>
            </c:dLbl>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report'!$D$59:$D$61</c:f>
              <c:strCache>
                <c:ptCount val="2"/>
                <c:pt idx="0">
                  <c:v>Delay</c:v>
                </c:pt>
                <c:pt idx="1">
                  <c:v>Ontime</c:v>
                </c:pt>
              </c:strCache>
            </c:strRef>
          </c:cat>
          <c:val>
            <c:numRef>
              <c:f>'pivot report'!$E$59:$E$61</c:f>
              <c:numCache>
                <c:formatCode>0</c:formatCode>
                <c:ptCount val="2"/>
                <c:pt idx="0">
                  <c:v>323</c:v>
                </c:pt>
                <c:pt idx="1">
                  <c:v>207</c:v>
                </c:pt>
              </c:numCache>
            </c:numRef>
          </c:val>
          <c:extLst>
            <c:ext xmlns:c16="http://schemas.microsoft.com/office/drawing/2014/chart" uri="{C3380CC4-5D6E-409C-BE32-E72D297353CC}">
              <c16:uniqueId val="{00000007-76D3-49CB-A587-F257FB7843F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64632906460387607"/>
          <c:y val="0.34713387712340044"/>
          <c:w val="0.30215354658750521"/>
          <c:h val="0.29286806456492681"/>
        </c:manualLayout>
      </c:layout>
      <c:overlay val="0"/>
      <c:spPr>
        <a:solidFill>
          <a:schemeClr val="lt1">
            <a:alpha val="78000"/>
          </a:schemeClr>
        </a:solidFill>
        <a:ln>
          <a:noFill/>
        </a:ln>
        <a:effectLst/>
      </c:spPr>
      <c:txPr>
        <a:bodyPr rot="0" spcFirstLastPara="1" vertOverflow="ellipsis" vert="horz" wrap="square" anchor="ctr" anchorCtr="1"/>
        <a:lstStyle/>
        <a:p>
          <a:pPr>
            <a:defRPr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report!PivotTable13</c:name>
    <c:fmtId val="5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F245FC07-67D3-49C4-A7F4-84B81A461C8A}"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tx>
            <c:rich>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fld id="{1B7CC3AE-B03F-4FD9-AD6E-CEDCDAE254B4}" type="PERCENTAGE">
                  <a:rPr lang="en-US" baseline="0"/>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9.1215773628823382E-2"/>
          <c:y val="5.3568972923468641E-2"/>
          <c:w val="0.55462303067576846"/>
          <c:h val="0.8928622158591486"/>
        </c:manualLayout>
      </c:layout>
      <c:doughnutChart>
        <c:varyColors val="1"/>
        <c:ser>
          <c:idx val="0"/>
          <c:order val="0"/>
          <c:tx>
            <c:strRef>
              <c:f>'pivot report'!$E$65</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83D-4B37-9C4D-1A922EDCEF2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83D-4B37-9C4D-1A922EDCEF26}"/>
              </c:ext>
            </c:extLst>
          </c:dPt>
          <c:dLbls>
            <c:dLbl>
              <c:idx val="0"/>
              <c:tx>
                <c:rich>
                  <a:bodyPr/>
                  <a:lstStyle/>
                  <a:p>
                    <a:fld id="{F245FC07-67D3-49C4-A7F4-84B81A461C8A}"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83D-4B37-9C4D-1A922EDCEF26}"/>
                </c:ext>
              </c:extLst>
            </c:dLbl>
            <c:dLbl>
              <c:idx val="1"/>
              <c:tx>
                <c:rich>
                  <a:bodyPr/>
                  <a:lstStyle/>
                  <a:p>
                    <a:fld id="{1B7CC3AE-B03F-4FD9-AD6E-CEDCDAE254B4}" type="PERCENTAGE">
                      <a:rPr lang="en-US" baseline="0"/>
                      <a:pPr/>
                      <a:t>[PERCENTAGE]</a:t>
                    </a:fld>
                    <a:endParaRPr lang="en-IN"/>
                  </a:p>
                </c:rich>
              </c:tx>
              <c:showLegendKey val="0"/>
              <c:showVal val="1"/>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83D-4B37-9C4D-1A922EDCEF2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report'!$D$66:$D$68</c:f>
              <c:strCache>
                <c:ptCount val="2"/>
                <c:pt idx="0">
                  <c:v>Female</c:v>
                </c:pt>
                <c:pt idx="1">
                  <c:v>Male</c:v>
                </c:pt>
              </c:strCache>
            </c:strRef>
          </c:cat>
          <c:val>
            <c:numRef>
              <c:f>'pivot report'!$E$66:$E$68</c:f>
              <c:numCache>
                <c:formatCode>0</c:formatCode>
                <c:ptCount val="2"/>
                <c:pt idx="0">
                  <c:v>259</c:v>
                </c:pt>
                <c:pt idx="1">
                  <c:v>271</c:v>
                </c:pt>
              </c:numCache>
            </c:numRef>
          </c:val>
          <c:extLst>
            <c:ext xmlns:c16="http://schemas.microsoft.com/office/drawing/2014/chart" uri="{C3380CC4-5D6E-409C-BE32-E72D297353CC}">
              <c16:uniqueId val="{00000008-2B24-4D12-891B-3979BDE28E8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7048621363837291"/>
          <c:y val="0.35590685285220247"/>
          <c:w val="0.31028792275933403"/>
          <c:h val="0.37745113895424642"/>
        </c:manualLayout>
      </c:layout>
      <c:overlay val="0"/>
      <c:spPr>
        <a:noFill/>
        <a:ln>
          <a:noFill/>
        </a:ln>
        <a:effectLst/>
      </c:spPr>
      <c:txPr>
        <a:bodyPr rot="0" spcFirstLastPara="1" vertOverflow="ellipsis" vert="horz" wrap="square" anchor="ctr" anchorCtr="1"/>
        <a:lstStyle/>
        <a:p>
          <a:pPr>
            <a:defRPr lang="en-US" sz="12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report!PivotTable14</c:name>
    <c:fmtId val="6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report'!$E$70</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report'!$D$71:$D$79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report'!$E$71:$E$79</c:f>
              <c:numCache>
                <c:formatCode>0</c:formatCode>
                <c:ptCount val="8"/>
                <c:pt idx="0">
                  <c:v>12</c:v>
                </c:pt>
                <c:pt idx="1">
                  <c:v>10</c:v>
                </c:pt>
                <c:pt idx="2">
                  <c:v>109</c:v>
                </c:pt>
                <c:pt idx="3">
                  <c:v>14</c:v>
                </c:pt>
                <c:pt idx="4">
                  <c:v>307</c:v>
                </c:pt>
                <c:pt idx="5">
                  <c:v>53</c:v>
                </c:pt>
                <c:pt idx="6">
                  <c:v>18</c:v>
                </c:pt>
                <c:pt idx="7">
                  <c:v>7</c:v>
                </c:pt>
              </c:numCache>
            </c:numRef>
          </c:val>
          <c:extLst>
            <c:ext xmlns:c16="http://schemas.microsoft.com/office/drawing/2014/chart" uri="{C3380CC4-5D6E-409C-BE32-E72D297353CC}">
              <c16:uniqueId val="{00000004-661A-4954-8A3D-409AD63EB242}"/>
            </c:ext>
          </c:extLst>
        </c:ser>
        <c:dLbls>
          <c:showLegendKey val="0"/>
          <c:showVal val="0"/>
          <c:showCatName val="0"/>
          <c:showSerName val="0"/>
          <c:showPercent val="0"/>
          <c:showBubbleSize val="0"/>
        </c:dLbls>
        <c:gapWidth val="90"/>
        <c:overlap val="-3"/>
        <c:axId val="2065031568"/>
        <c:axId val="1333440240"/>
      </c:barChart>
      <c:catAx>
        <c:axId val="2065031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3440240"/>
        <c:crosses val="autoZero"/>
        <c:auto val="1"/>
        <c:lblAlgn val="ctr"/>
        <c:lblOffset val="100"/>
        <c:noMultiLvlLbl val="0"/>
      </c:catAx>
      <c:valAx>
        <c:axId val="1333440240"/>
        <c:scaling>
          <c:orientation val="minMax"/>
        </c:scaling>
        <c:delete val="1"/>
        <c:axPos val="b"/>
        <c:numFmt formatCode="0" sourceLinked="1"/>
        <c:majorTickMark val="none"/>
        <c:minorTickMark val="none"/>
        <c:tickLblPos val="nextTo"/>
        <c:crossAx val="2065031568"/>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report!PivotTable7</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a:t>Total</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report'!$I$5</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report'!$H$6:$H$37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report'!$I$6:$I$37</c:f>
              <c:numCache>
                <c:formatCode>General</c:formatCode>
                <c:ptCount val="31"/>
                <c:pt idx="0">
                  <c:v>28</c:v>
                </c:pt>
                <c:pt idx="1">
                  <c:v>19</c:v>
                </c:pt>
                <c:pt idx="2">
                  <c:v>14</c:v>
                </c:pt>
                <c:pt idx="3">
                  <c:v>17</c:v>
                </c:pt>
                <c:pt idx="4">
                  <c:v>19</c:v>
                </c:pt>
                <c:pt idx="5">
                  <c:v>12</c:v>
                </c:pt>
                <c:pt idx="6">
                  <c:v>10</c:v>
                </c:pt>
                <c:pt idx="7">
                  <c:v>20</c:v>
                </c:pt>
                <c:pt idx="8">
                  <c:v>12</c:v>
                </c:pt>
                <c:pt idx="9">
                  <c:v>24</c:v>
                </c:pt>
                <c:pt idx="10">
                  <c:v>16</c:v>
                </c:pt>
                <c:pt idx="11">
                  <c:v>16</c:v>
                </c:pt>
                <c:pt idx="12">
                  <c:v>14</c:v>
                </c:pt>
                <c:pt idx="13">
                  <c:v>12</c:v>
                </c:pt>
                <c:pt idx="14">
                  <c:v>18</c:v>
                </c:pt>
                <c:pt idx="15">
                  <c:v>15</c:v>
                </c:pt>
                <c:pt idx="16">
                  <c:v>25</c:v>
                </c:pt>
                <c:pt idx="17">
                  <c:v>15</c:v>
                </c:pt>
                <c:pt idx="18">
                  <c:v>19</c:v>
                </c:pt>
                <c:pt idx="19">
                  <c:v>23</c:v>
                </c:pt>
                <c:pt idx="20">
                  <c:v>10</c:v>
                </c:pt>
                <c:pt idx="21">
                  <c:v>14</c:v>
                </c:pt>
                <c:pt idx="22">
                  <c:v>16</c:v>
                </c:pt>
                <c:pt idx="23">
                  <c:v>18</c:v>
                </c:pt>
                <c:pt idx="24">
                  <c:v>22</c:v>
                </c:pt>
                <c:pt idx="25">
                  <c:v>14</c:v>
                </c:pt>
                <c:pt idx="26">
                  <c:v>15</c:v>
                </c:pt>
                <c:pt idx="27">
                  <c:v>21</c:v>
                </c:pt>
                <c:pt idx="28">
                  <c:v>17</c:v>
                </c:pt>
                <c:pt idx="29">
                  <c:v>16</c:v>
                </c:pt>
                <c:pt idx="30">
                  <c:v>19</c:v>
                </c:pt>
              </c:numCache>
            </c:numRef>
          </c:val>
          <c:extLst>
            <c:ext xmlns:c16="http://schemas.microsoft.com/office/drawing/2014/chart" uri="{C3380CC4-5D6E-409C-BE32-E72D297353CC}">
              <c16:uniqueId val="{00000002-350F-4405-9C2B-43106363D0B2}"/>
            </c:ext>
          </c:extLst>
        </c:ser>
        <c:dLbls>
          <c:showLegendKey val="0"/>
          <c:showVal val="0"/>
          <c:showCatName val="0"/>
          <c:showSerName val="0"/>
          <c:showPercent val="0"/>
          <c:showBubbleSize val="0"/>
        </c:dLbls>
        <c:axId val="877188127"/>
        <c:axId val="1424918415"/>
      </c:areaChart>
      <c:catAx>
        <c:axId val="87718812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4918415"/>
        <c:crosses val="autoZero"/>
        <c:auto val="1"/>
        <c:lblAlgn val="ctr"/>
        <c:lblOffset val="100"/>
        <c:noMultiLvlLbl val="0"/>
      </c:catAx>
      <c:valAx>
        <c:axId val="142491841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77188127"/>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report!PivotTable8</c:name>
    <c:fmtId val="3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report'!$L$5</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report'!$K$6:$K$37</c:f>
              <c:strCache>
                <c:ptCount val="31"/>
                <c:pt idx="0">
                  <c:v>1-Aug</c:v>
                </c:pt>
                <c:pt idx="1">
                  <c:v>2-Aug</c:v>
                </c:pt>
                <c:pt idx="2">
                  <c:v>3-Aug</c:v>
                </c:pt>
                <c:pt idx="3">
                  <c:v>4-Aug</c:v>
                </c:pt>
                <c:pt idx="4">
                  <c:v>5-Aug</c:v>
                </c:pt>
                <c:pt idx="5">
                  <c:v>6-Aug</c:v>
                </c:pt>
                <c:pt idx="6">
                  <c:v>7-Aug</c:v>
                </c:pt>
                <c:pt idx="7">
                  <c:v>8-Aug</c:v>
                </c:pt>
                <c:pt idx="8">
                  <c:v>9-Aug</c:v>
                </c:pt>
                <c:pt idx="9">
                  <c:v>10-Aug</c:v>
                </c:pt>
                <c:pt idx="10">
                  <c:v>11-Aug</c:v>
                </c:pt>
                <c:pt idx="11">
                  <c:v>12-Aug</c:v>
                </c:pt>
                <c:pt idx="12">
                  <c:v>13-Aug</c:v>
                </c:pt>
                <c:pt idx="13">
                  <c:v>14-Aug</c:v>
                </c:pt>
                <c:pt idx="14">
                  <c:v>15-Aug</c:v>
                </c:pt>
                <c:pt idx="15">
                  <c:v>16-Aug</c:v>
                </c:pt>
                <c:pt idx="16">
                  <c:v>17-Aug</c:v>
                </c:pt>
                <c:pt idx="17">
                  <c:v>18-Aug</c:v>
                </c:pt>
                <c:pt idx="18">
                  <c:v>19-Aug</c:v>
                </c:pt>
                <c:pt idx="19">
                  <c:v>20-Aug</c:v>
                </c:pt>
                <c:pt idx="20">
                  <c:v>21-Aug</c:v>
                </c:pt>
                <c:pt idx="21">
                  <c:v>22-Aug</c:v>
                </c:pt>
                <c:pt idx="22">
                  <c:v>23-Aug</c:v>
                </c:pt>
                <c:pt idx="23">
                  <c:v>24-Aug</c:v>
                </c:pt>
                <c:pt idx="24">
                  <c:v>25-Aug</c:v>
                </c:pt>
                <c:pt idx="25">
                  <c:v>26-Aug</c:v>
                </c:pt>
                <c:pt idx="26">
                  <c:v>27-Aug</c:v>
                </c:pt>
                <c:pt idx="27">
                  <c:v>28-Aug</c:v>
                </c:pt>
                <c:pt idx="28">
                  <c:v>29-Aug</c:v>
                </c:pt>
                <c:pt idx="29">
                  <c:v>30-Aug</c:v>
                </c:pt>
                <c:pt idx="30">
                  <c:v>31-Aug</c:v>
                </c:pt>
              </c:strCache>
            </c:strRef>
          </c:cat>
          <c:val>
            <c:numRef>
              <c:f>'pivot report'!$L$6:$L$37</c:f>
              <c:numCache>
                <c:formatCode>0.00</c:formatCode>
                <c:ptCount val="31"/>
                <c:pt idx="0">
                  <c:v>35.285714285714285</c:v>
                </c:pt>
                <c:pt idx="1">
                  <c:v>31.842105263157894</c:v>
                </c:pt>
                <c:pt idx="2">
                  <c:v>34.714285714285715</c:v>
                </c:pt>
                <c:pt idx="3">
                  <c:v>42.823529411764703</c:v>
                </c:pt>
                <c:pt idx="4">
                  <c:v>32.157894736842103</c:v>
                </c:pt>
                <c:pt idx="5">
                  <c:v>34.833333333333336</c:v>
                </c:pt>
                <c:pt idx="6">
                  <c:v>33.4</c:v>
                </c:pt>
                <c:pt idx="7">
                  <c:v>28.15</c:v>
                </c:pt>
                <c:pt idx="8">
                  <c:v>31.333333333333332</c:v>
                </c:pt>
                <c:pt idx="9">
                  <c:v>37.375</c:v>
                </c:pt>
                <c:pt idx="10">
                  <c:v>36.0625</c:v>
                </c:pt>
                <c:pt idx="11">
                  <c:v>40.5</c:v>
                </c:pt>
                <c:pt idx="12">
                  <c:v>39.571428571428569</c:v>
                </c:pt>
                <c:pt idx="13">
                  <c:v>30.25</c:v>
                </c:pt>
                <c:pt idx="14">
                  <c:v>39.722222222222221</c:v>
                </c:pt>
                <c:pt idx="15">
                  <c:v>38.133333333333333</c:v>
                </c:pt>
                <c:pt idx="16">
                  <c:v>34.08</c:v>
                </c:pt>
                <c:pt idx="17">
                  <c:v>30.066666666666666</c:v>
                </c:pt>
                <c:pt idx="18">
                  <c:v>33.263157894736842</c:v>
                </c:pt>
                <c:pt idx="19">
                  <c:v>38.565217391304351</c:v>
                </c:pt>
                <c:pt idx="20">
                  <c:v>28.6</c:v>
                </c:pt>
                <c:pt idx="21">
                  <c:v>36.285714285714285</c:v>
                </c:pt>
                <c:pt idx="22">
                  <c:v>40.375</c:v>
                </c:pt>
                <c:pt idx="23">
                  <c:v>34.666666666666664</c:v>
                </c:pt>
                <c:pt idx="24">
                  <c:v>34.863636363636367</c:v>
                </c:pt>
                <c:pt idx="25">
                  <c:v>30.928571428571427</c:v>
                </c:pt>
                <c:pt idx="26">
                  <c:v>35.6</c:v>
                </c:pt>
                <c:pt idx="27">
                  <c:v>34.952380952380949</c:v>
                </c:pt>
                <c:pt idx="28">
                  <c:v>34.411764705882355</c:v>
                </c:pt>
                <c:pt idx="29">
                  <c:v>34</c:v>
                </c:pt>
                <c:pt idx="30">
                  <c:v>36.421052631578945</c:v>
                </c:pt>
              </c:numCache>
            </c:numRef>
          </c:val>
          <c:extLst>
            <c:ext xmlns:c16="http://schemas.microsoft.com/office/drawing/2014/chart" uri="{C3380CC4-5D6E-409C-BE32-E72D297353CC}">
              <c16:uniqueId val="{00000002-61DE-4282-9E5F-B7B396FA2DA1}"/>
            </c:ext>
          </c:extLst>
        </c:ser>
        <c:dLbls>
          <c:showLegendKey val="0"/>
          <c:showVal val="0"/>
          <c:showCatName val="0"/>
          <c:showSerName val="0"/>
          <c:showPercent val="0"/>
          <c:showBubbleSize val="0"/>
        </c:dLbls>
        <c:axId val="1543493951"/>
        <c:axId val="1424929935"/>
      </c:areaChart>
      <c:catAx>
        <c:axId val="15434939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4929935"/>
        <c:crosses val="autoZero"/>
        <c:auto val="1"/>
        <c:lblAlgn val="ctr"/>
        <c:lblOffset val="100"/>
        <c:noMultiLvlLbl val="0"/>
      </c:catAx>
      <c:valAx>
        <c:axId val="142492993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3493951"/>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[data_cleaning.xlsx]pivot report!PivotTable9</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25400">
            <a:noFill/>
          </a:ln>
          <a:effectLst>
            <a:innerShdw dist="127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report'!$P$5</c:f>
              <c:strCache>
                <c:ptCount val="1"/>
                <c:pt idx="0">
                  <c:v>Total</c:v>
                </c:pt>
              </c:strCache>
            </c:strRef>
          </c:tx>
          <c:spPr>
            <a:solidFill>
              <a:schemeClr val="accent1">
                <a:alpha val="85000"/>
              </a:schemeClr>
            </a:solidFill>
            <a:ln w="25400">
              <a:noFill/>
            </a:ln>
            <a:effectLst>
              <a:innerShdw dist="12700" dir="16200000">
                <a:schemeClr val="lt1"/>
              </a:innerShdw>
            </a:effectLst>
          </c:spPr>
          <c:cat>
            <c:strRef>
              <c:f>'pivot report'!$O$6:$O$36</c:f>
              <c:strCache>
                <c:ptCount val="30"/>
                <c:pt idx="0">
                  <c:v>1-Aug</c:v>
                </c:pt>
                <c:pt idx="1">
                  <c:v>2-Aug</c:v>
                </c:pt>
                <c:pt idx="2">
                  <c:v>3-Aug</c:v>
                </c:pt>
                <c:pt idx="3">
                  <c:v>4-Aug</c:v>
                </c:pt>
                <c:pt idx="4">
                  <c:v>5-Aug</c:v>
                </c:pt>
                <c:pt idx="5">
                  <c:v>6-Aug</c:v>
                </c:pt>
                <c:pt idx="6">
                  <c:v>8-Aug</c:v>
                </c:pt>
                <c:pt idx="7">
                  <c:v>9-Aug</c:v>
                </c:pt>
                <c:pt idx="8">
                  <c:v>10-Aug</c:v>
                </c:pt>
                <c:pt idx="9">
                  <c:v>11-Aug</c:v>
                </c:pt>
                <c:pt idx="10">
                  <c:v>12-Aug</c:v>
                </c:pt>
                <c:pt idx="11">
                  <c:v>13-Aug</c:v>
                </c:pt>
                <c:pt idx="12">
                  <c:v>14-Aug</c:v>
                </c:pt>
                <c:pt idx="13">
                  <c:v>15-Aug</c:v>
                </c:pt>
                <c:pt idx="14">
                  <c:v>16-Aug</c:v>
                </c:pt>
                <c:pt idx="15">
                  <c:v>17-Aug</c:v>
                </c:pt>
                <c:pt idx="16">
                  <c:v>18-Aug</c:v>
                </c:pt>
                <c:pt idx="17">
                  <c:v>19-Aug</c:v>
                </c:pt>
                <c:pt idx="18">
                  <c:v>20-Aug</c:v>
                </c:pt>
                <c:pt idx="19">
                  <c:v>21-Aug</c:v>
                </c:pt>
                <c:pt idx="20">
                  <c:v>22-Aug</c:v>
                </c:pt>
                <c:pt idx="21">
                  <c:v>23-Aug</c:v>
                </c:pt>
                <c:pt idx="22">
                  <c:v>24-Aug</c:v>
                </c:pt>
                <c:pt idx="23">
                  <c:v>25-Aug</c:v>
                </c:pt>
                <c:pt idx="24">
                  <c:v>26-Aug</c:v>
                </c:pt>
                <c:pt idx="25">
                  <c:v>27-Aug</c:v>
                </c:pt>
                <c:pt idx="26">
                  <c:v>28-Aug</c:v>
                </c:pt>
                <c:pt idx="27">
                  <c:v>29-Aug</c:v>
                </c:pt>
                <c:pt idx="28">
                  <c:v>30-Aug</c:v>
                </c:pt>
                <c:pt idx="29">
                  <c:v>31-Aug</c:v>
                </c:pt>
              </c:strCache>
            </c:strRef>
          </c:cat>
          <c:val>
            <c:numRef>
              <c:f>'pivot report'!$P$6:$P$36</c:f>
              <c:numCache>
                <c:formatCode>General</c:formatCode>
                <c:ptCount val="30"/>
                <c:pt idx="0">
                  <c:v>36</c:v>
                </c:pt>
                <c:pt idx="1">
                  <c:v>28</c:v>
                </c:pt>
                <c:pt idx="2">
                  <c:v>37</c:v>
                </c:pt>
                <c:pt idx="3">
                  <c:v>9</c:v>
                </c:pt>
                <c:pt idx="4">
                  <c:v>24</c:v>
                </c:pt>
                <c:pt idx="5">
                  <c:v>19</c:v>
                </c:pt>
                <c:pt idx="6">
                  <c:v>9</c:v>
                </c:pt>
                <c:pt idx="7">
                  <c:v>12</c:v>
                </c:pt>
                <c:pt idx="8">
                  <c:v>20</c:v>
                </c:pt>
                <c:pt idx="9">
                  <c:v>8</c:v>
                </c:pt>
                <c:pt idx="10">
                  <c:v>11</c:v>
                </c:pt>
                <c:pt idx="11">
                  <c:v>12</c:v>
                </c:pt>
                <c:pt idx="12">
                  <c:v>15</c:v>
                </c:pt>
                <c:pt idx="13">
                  <c:v>22</c:v>
                </c:pt>
                <c:pt idx="14">
                  <c:v>15</c:v>
                </c:pt>
                <c:pt idx="15">
                  <c:v>20</c:v>
                </c:pt>
                <c:pt idx="16">
                  <c:v>7</c:v>
                </c:pt>
                <c:pt idx="17">
                  <c:v>13</c:v>
                </c:pt>
                <c:pt idx="18">
                  <c:v>35</c:v>
                </c:pt>
                <c:pt idx="19">
                  <c:v>9</c:v>
                </c:pt>
                <c:pt idx="20">
                  <c:v>15</c:v>
                </c:pt>
                <c:pt idx="21">
                  <c:v>20</c:v>
                </c:pt>
                <c:pt idx="22">
                  <c:v>4</c:v>
                </c:pt>
                <c:pt idx="23">
                  <c:v>25</c:v>
                </c:pt>
                <c:pt idx="24">
                  <c:v>13</c:v>
                </c:pt>
                <c:pt idx="25">
                  <c:v>24</c:v>
                </c:pt>
                <c:pt idx="26">
                  <c:v>48</c:v>
                </c:pt>
                <c:pt idx="27">
                  <c:v>10</c:v>
                </c:pt>
                <c:pt idx="28">
                  <c:v>20</c:v>
                </c:pt>
                <c:pt idx="29">
                  <c:v>45</c:v>
                </c:pt>
              </c:numCache>
            </c:numRef>
          </c:val>
          <c:extLst>
            <c:ext xmlns:c16="http://schemas.microsoft.com/office/drawing/2014/chart" uri="{C3380CC4-5D6E-409C-BE32-E72D297353CC}">
              <c16:uniqueId val="{00000002-1B82-4A64-8763-95E2E68242D1}"/>
            </c:ext>
          </c:extLst>
        </c:ser>
        <c:dLbls>
          <c:showLegendKey val="0"/>
          <c:showVal val="0"/>
          <c:showCatName val="0"/>
          <c:showSerName val="0"/>
          <c:showPercent val="0"/>
          <c:showBubbleSize val="0"/>
        </c:dLbls>
        <c:axId val="887197855"/>
        <c:axId val="1424962095"/>
      </c:areaChart>
      <c:catAx>
        <c:axId val="88719785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424962095"/>
        <c:crosses val="autoZero"/>
        <c:auto val="1"/>
        <c:lblAlgn val="ctr"/>
        <c:lblOffset val="100"/>
        <c:noMultiLvlLbl val="0"/>
      </c:catAx>
      <c:valAx>
        <c:axId val="1424962095"/>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887197855"/>
        <c:crosses val="autoZero"/>
        <c:crossBetween val="midCat"/>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9">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65000"/>
        <a:lumOff val="35000"/>
      </a:schemeClr>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
  <cs:dataPoint3D>
    <cs:lnRef idx="0"/>
    <cs:fillRef idx="0">
      <cs:styleClr val="auto"/>
    </cs:fillRef>
    <cs:effectRef idx="0"/>
    <cs:fontRef idx="minor">
      <a:schemeClr val="dk1"/>
    </cs:fontRef>
    <cs:spPr>
      <a:solidFill>
        <a:schemeClr val="phClr">
          <a:alpha val="85000"/>
        </a:schemeClr>
      </a:solidFill>
      <a:effectLst>
        <a:innerShdw dist="12700" dir="16200000">
          <a:schemeClr val="lt1"/>
        </a:inn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hyperlink" Target="#chart_details!A1"/><Relationship Id="rId1" Type="http://schemas.openxmlformats.org/officeDocument/2006/relationships/image" Target="../media/image1.png"/><Relationship Id="rId6" Type="http://schemas.openxmlformats.org/officeDocument/2006/relationships/image" Target="../media/image2.emf"/><Relationship Id="rId11" Type="http://schemas.openxmlformats.org/officeDocument/2006/relationships/chart" Target="../charts/chart8.xml"/><Relationship Id="rId5" Type="http://schemas.openxmlformats.org/officeDocument/2006/relationships/chart" Target="../charts/chart4.xml"/><Relationship Id="rId10" Type="http://schemas.openxmlformats.org/officeDocument/2006/relationships/chart" Target="../charts/chart7.xml"/><Relationship Id="rId4" Type="http://schemas.openxmlformats.org/officeDocument/2006/relationships/chart" Target="../charts/chart3.xml"/><Relationship Id="rId9" Type="http://schemas.openxmlformats.org/officeDocument/2006/relationships/image" Target="../media/image3.emf"/></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1860745</xdr:colOff>
      <xdr:row>49</xdr:row>
      <xdr:rowOff>68872</xdr:rowOff>
    </xdr:from>
    <xdr:to>
      <xdr:col>3</xdr:col>
      <xdr:colOff>1238249</xdr:colOff>
      <xdr:row>52</xdr:row>
      <xdr:rowOff>109903</xdr:rowOff>
    </xdr:to>
    <xdr:graphicFrame macro="">
      <xdr:nvGraphicFramePr>
        <xdr:cNvPr id="2" name="Chart 1">
          <a:extLst>
            <a:ext uri="{FF2B5EF4-FFF2-40B4-BE49-F238E27FC236}">
              <a16:creationId xmlns:a16="http://schemas.microsoft.com/office/drawing/2014/main" id="{E089B7DA-4E87-770F-4A5F-35E7029A6B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absolute">
    <xdr:from>
      <xdr:col>17</xdr:col>
      <xdr:colOff>362267</xdr:colOff>
      <xdr:row>1</xdr:row>
      <xdr:rowOff>18718</xdr:rowOff>
    </xdr:from>
    <xdr:to>
      <xdr:col>21</xdr:col>
      <xdr:colOff>4071562</xdr:colOff>
      <xdr:row>4</xdr:row>
      <xdr:rowOff>140816</xdr:rowOff>
    </xdr:to>
    <xdr:sp macro="" textlink="">
      <xdr:nvSpPr>
        <xdr:cNvPr id="2" name="Rectangle: Rounded Corners 1">
          <a:extLst>
            <a:ext uri="{FF2B5EF4-FFF2-40B4-BE49-F238E27FC236}">
              <a16:creationId xmlns:a16="http://schemas.microsoft.com/office/drawing/2014/main" id="{7A80B5E4-2566-8698-7D56-B2AD5A9377CC}"/>
            </a:ext>
          </a:extLst>
        </xdr:cNvPr>
        <xdr:cNvSpPr/>
      </xdr:nvSpPr>
      <xdr:spPr>
        <a:xfrm>
          <a:off x="6899413" y="200935"/>
          <a:ext cx="6178527" cy="668751"/>
        </a:xfrm>
        <a:prstGeom prst="roundRect">
          <a:avLst>
            <a:gd name="adj" fmla="val 7019"/>
          </a:avLst>
        </a:prstGeom>
      </xdr:spPr>
      <xdr:style>
        <a:lnRef idx="2">
          <a:schemeClr val="dk1"/>
        </a:lnRef>
        <a:fillRef idx="1">
          <a:schemeClr val="lt1"/>
        </a:fillRef>
        <a:effectRef idx="0">
          <a:schemeClr val="dk1"/>
        </a:effectRef>
        <a:fontRef idx="minor">
          <a:schemeClr val="dk1"/>
        </a:fontRef>
      </xdr:style>
      <xdr:txBody>
        <a:bodyPr vertOverflow="clip" horzOverflow="clip" lIns="90000" rtlCol="0" anchor="ctr"/>
        <a:lstStyle/>
        <a:p>
          <a:pPr marL="0" indent="0" algn="l"/>
          <a:endParaRPr lang="en-IN" sz="1800" b="1">
            <a:solidFill>
              <a:schemeClr val="dk1"/>
            </a:solidFill>
            <a:latin typeface="+mn-lt"/>
            <a:ea typeface="+mn-ea"/>
            <a:cs typeface="+mn-cs"/>
          </a:endParaRPr>
        </a:p>
      </xdr:txBody>
    </xdr:sp>
    <xdr:clientData/>
  </xdr:twoCellAnchor>
  <xdr:twoCellAnchor editAs="absolute">
    <xdr:from>
      <xdr:col>0</xdr:col>
      <xdr:colOff>367185</xdr:colOff>
      <xdr:row>1</xdr:row>
      <xdr:rowOff>18718</xdr:rowOff>
    </xdr:from>
    <xdr:to>
      <xdr:col>5</xdr:col>
      <xdr:colOff>227620</xdr:colOff>
      <xdr:row>4</xdr:row>
      <xdr:rowOff>140816</xdr:rowOff>
    </xdr:to>
    <xdr:sp macro="" textlink="">
      <xdr:nvSpPr>
        <xdr:cNvPr id="20" name="Rectangle: Rounded Corners 19">
          <a:extLst>
            <a:ext uri="{FF2B5EF4-FFF2-40B4-BE49-F238E27FC236}">
              <a16:creationId xmlns:a16="http://schemas.microsoft.com/office/drawing/2014/main" id="{721F1C15-748B-396C-199E-0C9ECC60C342}"/>
            </a:ext>
          </a:extLst>
        </xdr:cNvPr>
        <xdr:cNvSpPr/>
      </xdr:nvSpPr>
      <xdr:spPr>
        <a:xfrm>
          <a:off x="367185" y="204985"/>
          <a:ext cx="3761875" cy="680898"/>
        </a:xfrm>
        <a:prstGeom prst="roundRect">
          <a:avLst>
            <a:gd name="adj" fmla="val 10450"/>
          </a:avLst>
        </a:prstGeom>
      </xdr:spPr>
      <xdr:style>
        <a:lnRef idx="2">
          <a:schemeClr val="dk1"/>
        </a:lnRef>
        <a:fillRef idx="1">
          <a:schemeClr val="lt1"/>
        </a:fillRef>
        <a:effectRef idx="0">
          <a:schemeClr val="dk1"/>
        </a:effectRef>
        <a:fontRef idx="minor">
          <a:schemeClr val="dk1"/>
        </a:fontRef>
      </xdr:style>
      <xdr:txBody>
        <a:bodyPr vertOverflow="clip" horzOverflow="clip" lIns="90000" rtlCol="0" anchor="ctr"/>
        <a:lstStyle/>
        <a:p>
          <a:pPr algn="l"/>
          <a:endParaRPr lang="en-IN" sz="1800" b="1"/>
        </a:p>
      </xdr:txBody>
    </xdr:sp>
    <xdr:clientData/>
  </xdr:twoCellAnchor>
  <xdr:twoCellAnchor editAs="absolute">
    <xdr:from>
      <xdr:col>5</xdr:col>
      <xdr:colOff>382326</xdr:colOff>
      <xdr:row>1</xdr:row>
      <xdr:rowOff>18718</xdr:rowOff>
    </xdr:from>
    <xdr:to>
      <xdr:col>17</xdr:col>
      <xdr:colOff>171032</xdr:colOff>
      <xdr:row>4</xdr:row>
      <xdr:rowOff>140816</xdr:rowOff>
    </xdr:to>
    <xdr:sp macro="" textlink="">
      <xdr:nvSpPr>
        <xdr:cNvPr id="21" name="Rectangle: Rounded Corners 20">
          <a:extLst>
            <a:ext uri="{FF2B5EF4-FFF2-40B4-BE49-F238E27FC236}">
              <a16:creationId xmlns:a16="http://schemas.microsoft.com/office/drawing/2014/main" id="{7FB01940-C0A6-4C50-9E43-AEAB11E0EB4E}"/>
            </a:ext>
          </a:extLst>
        </xdr:cNvPr>
        <xdr:cNvSpPr/>
      </xdr:nvSpPr>
      <xdr:spPr>
        <a:xfrm>
          <a:off x="4306957" y="200935"/>
          <a:ext cx="2397908" cy="668751"/>
        </a:xfrm>
        <a:prstGeom prst="roundRect">
          <a:avLst>
            <a:gd name="adj" fmla="val 7020"/>
          </a:avLst>
        </a:prstGeom>
      </xdr:spPr>
      <xdr:style>
        <a:lnRef idx="2">
          <a:schemeClr val="dk1"/>
        </a:lnRef>
        <a:fillRef idx="1">
          <a:schemeClr val="lt1"/>
        </a:fillRef>
        <a:effectRef idx="0">
          <a:schemeClr val="dk1"/>
        </a:effectRef>
        <a:fontRef idx="minor">
          <a:schemeClr val="dk1"/>
        </a:fontRef>
      </xdr:style>
      <xdr:txBody>
        <a:bodyPr vertOverflow="clip" horzOverflow="clip" lIns="90000" rtlCol="0" anchor="ctr"/>
        <a:lstStyle/>
        <a:p>
          <a:pPr marL="0" indent="0" algn="l"/>
          <a:endParaRPr lang="en-IN" sz="1800" b="1">
            <a:solidFill>
              <a:schemeClr val="dk1"/>
            </a:solidFill>
            <a:latin typeface="+mn-lt"/>
            <a:ea typeface="+mn-ea"/>
            <a:cs typeface="+mn-cs"/>
          </a:endParaRPr>
        </a:p>
      </xdr:txBody>
    </xdr:sp>
    <xdr:clientData/>
  </xdr:twoCellAnchor>
  <xdr:twoCellAnchor editAs="absolute">
    <xdr:from>
      <xdr:col>3</xdr:col>
      <xdr:colOff>1104339</xdr:colOff>
      <xdr:row>5</xdr:row>
      <xdr:rowOff>149088</xdr:rowOff>
    </xdr:from>
    <xdr:to>
      <xdr:col>19</xdr:col>
      <xdr:colOff>22877</xdr:colOff>
      <xdr:row>12</xdr:row>
      <xdr:rowOff>132534</xdr:rowOff>
    </xdr:to>
    <xdr:sp macro="" textlink="">
      <xdr:nvSpPr>
        <xdr:cNvPr id="31" name="Rectangle: Rounded Corners 30">
          <a:extLst>
            <a:ext uri="{FF2B5EF4-FFF2-40B4-BE49-F238E27FC236}">
              <a16:creationId xmlns:a16="http://schemas.microsoft.com/office/drawing/2014/main" id="{2A12F19D-E25D-19D5-E1B2-79F3B221CED8}"/>
            </a:ext>
          </a:extLst>
        </xdr:cNvPr>
        <xdr:cNvSpPr/>
      </xdr:nvSpPr>
      <xdr:spPr>
        <a:xfrm>
          <a:off x="2946391" y="1060175"/>
          <a:ext cx="4830980" cy="1258968"/>
        </a:xfrm>
        <a:prstGeom prst="roundRect">
          <a:avLst>
            <a:gd name="adj" fmla="val 3754"/>
          </a:avLst>
        </a:prstGeom>
      </xdr:spPr>
      <xdr:style>
        <a:lnRef idx="2">
          <a:schemeClr val="dk1"/>
        </a:lnRef>
        <a:fillRef idx="1">
          <a:schemeClr val="lt1"/>
        </a:fillRef>
        <a:effectRef idx="0">
          <a:schemeClr val="dk1"/>
        </a:effectRef>
        <a:fontRef idx="minor">
          <a:schemeClr val="dk1"/>
        </a:fontRef>
      </xdr:style>
      <xdr:txBody>
        <a:bodyPr vertOverflow="clip" horzOverflow="clip" lIns="90000" rtlCol="0" anchor="ctr"/>
        <a:lstStyle/>
        <a:p>
          <a:pPr marL="0" indent="0" algn="l"/>
          <a:endParaRPr lang="en-IN" sz="1800" b="1">
            <a:solidFill>
              <a:schemeClr val="dk1"/>
            </a:solidFill>
            <a:latin typeface="+mn-lt"/>
            <a:ea typeface="+mn-ea"/>
            <a:cs typeface="+mn-cs"/>
          </a:endParaRPr>
        </a:p>
      </xdr:txBody>
    </xdr:sp>
    <xdr:clientData/>
  </xdr:twoCellAnchor>
  <xdr:twoCellAnchor editAs="absolute">
    <xdr:from>
      <xdr:col>3</xdr:col>
      <xdr:colOff>1113145</xdr:colOff>
      <xdr:row>13</xdr:row>
      <xdr:rowOff>140803</xdr:rowOff>
    </xdr:from>
    <xdr:to>
      <xdr:col>19</xdr:col>
      <xdr:colOff>6311</xdr:colOff>
      <xdr:row>28</xdr:row>
      <xdr:rowOff>124773</xdr:rowOff>
    </xdr:to>
    <xdr:sp macro="" textlink="">
      <xdr:nvSpPr>
        <xdr:cNvPr id="33" name="Rectangle: Rounded Corners 32">
          <a:extLst>
            <a:ext uri="{FF2B5EF4-FFF2-40B4-BE49-F238E27FC236}">
              <a16:creationId xmlns:a16="http://schemas.microsoft.com/office/drawing/2014/main" id="{A6F54EB5-EB88-4963-B880-E76CA1BED33F}"/>
            </a:ext>
          </a:extLst>
        </xdr:cNvPr>
        <xdr:cNvSpPr/>
      </xdr:nvSpPr>
      <xdr:spPr>
        <a:xfrm>
          <a:off x="2941945" y="2518243"/>
          <a:ext cx="4779103" cy="2727170"/>
        </a:xfrm>
        <a:prstGeom prst="roundRect">
          <a:avLst>
            <a:gd name="adj" fmla="val 169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a:p>
      </xdr:txBody>
    </xdr:sp>
    <xdr:clientData/>
  </xdr:twoCellAnchor>
  <xdr:twoCellAnchor editAs="absolute">
    <xdr:from>
      <xdr:col>19</xdr:col>
      <xdr:colOff>216300</xdr:colOff>
      <xdr:row>5</xdr:row>
      <xdr:rowOff>140804</xdr:rowOff>
    </xdr:from>
    <xdr:to>
      <xdr:col>21</xdr:col>
      <xdr:colOff>1374313</xdr:colOff>
      <xdr:row>16</xdr:row>
      <xdr:rowOff>4459</xdr:rowOff>
    </xdr:to>
    <xdr:sp macro="" textlink="">
      <xdr:nvSpPr>
        <xdr:cNvPr id="35" name="Rectangle: Rounded Corners 34">
          <a:extLst>
            <a:ext uri="{FF2B5EF4-FFF2-40B4-BE49-F238E27FC236}">
              <a16:creationId xmlns:a16="http://schemas.microsoft.com/office/drawing/2014/main" id="{4B047410-142B-4D84-99AB-16E05E37645F}"/>
            </a:ext>
          </a:extLst>
        </xdr:cNvPr>
        <xdr:cNvSpPr/>
      </xdr:nvSpPr>
      <xdr:spPr>
        <a:xfrm>
          <a:off x="7974107" y="1051891"/>
          <a:ext cx="2387436" cy="1838229"/>
        </a:xfrm>
        <a:prstGeom prst="roundRect">
          <a:avLst>
            <a:gd name="adj" fmla="val 298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21</xdr:col>
      <xdr:colOff>1571573</xdr:colOff>
      <xdr:row>5</xdr:row>
      <xdr:rowOff>140804</xdr:rowOff>
    </xdr:from>
    <xdr:to>
      <xdr:col>21</xdr:col>
      <xdr:colOff>4055296</xdr:colOff>
      <xdr:row>16</xdr:row>
      <xdr:rowOff>4459</xdr:rowOff>
    </xdr:to>
    <xdr:sp macro="" textlink="">
      <xdr:nvSpPr>
        <xdr:cNvPr id="36" name="Rectangle: Rounded Corners 35">
          <a:extLst>
            <a:ext uri="{FF2B5EF4-FFF2-40B4-BE49-F238E27FC236}">
              <a16:creationId xmlns:a16="http://schemas.microsoft.com/office/drawing/2014/main" id="{496853DA-6A8A-7DC4-A216-509010035841}"/>
            </a:ext>
          </a:extLst>
        </xdr:cNvPr>
        <xdr:cNvSpPr/>
      </xdr:nvSpPr>
      <xdr:spPr>
        <a:xfrm>
          <a:off x="10537779" y="1034508"/>
          <a:ext cx="2493832" cy="1829803"/>
        </a:xfrm>
        <a:prstGeom prst="roundRect">
          <a:avLst>
            <a:gd name="adj" fmla="val 3293"/>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19</xdr:col>
      <xdr:colOff>211239</xdr:colOff>
      <xdr:row>17</xdr:row>
      <xdr:rowOff>33129</xdr:rowOff>
    </xdr:from>
    <xdr:to>
      <xdr:col>21</xdr:col>
      <xdr:colOff>4063540</xdr:colOff>
      <xdr:row>28</xdr:row>
      <xdr:rowOff>124773</xdr:rowOff>
    </xdr:to>
    <xdr:sp macro="" textlink="">
      <xdr:nvSpPr>
        <xdr:cNvPr id="37" name="Rectangle: Rounded Corners 36">
          <a:extLst>
            <a:ext uri="{FF2B5EF4-FFF2-40B4-BE49-F238E27FC236}">
              <a16:creationId xmlns:a16="http://schemas.microsoft.com/office/drawing/2014/main" id="{2873266C-116F-4FBB-939F-F734A82FABEC}"/>
            </a:ext>
          </a:extLst>
        </xdr:cNvPr>
        <xdr:cNvSpPr/>
      </xdr:nvSpPr>
      <xdr:spPr>
        <a:xfrm>
          <a:off x="7941700" y="3117415"/>
          <a:ext cx="5084044" cy="2087358"/>
        </a:xfrm>
        <a:prstGeom prst="roundRect">
          <a:avLst>
            <a:gd name="adj" fmla="val 194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279402</xdr:colOff>
      <xdr:row>1</xdr:row>
      <xdr:rowOff>84670</xdr:rowOff>
    </xdr:from>
    <xdr:to>
      <xdr:col>2</xdr:col>
      <xdr:colOff>50802</xdr:colOff>
      <xdr:row>4</xdr:row>
      <xdr:rowOff>81743</xdr:rowOff>
    </xdr:to>
    <xdr:pic>
      <xdr:nvPicPr>
        <xdr:cNvPr id="4" name="Picture 3">
          <a:extLst>
            <a:ext uri="{FF2B5EF4-FFF2-40B4-BE49-F238E27FC236}">
              <a16:creationId xmlns:a16="http://schemas.microsoft.com/office/drawing/2014/main" id="{294A0C3A-6E09-C5BC-75D6-D28D9B3644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9402" y="270937"/>
          <a:ext cx="990600" cy="555873"/>
        </a:xfrm>
        <a:prstGeom prst="rect">
          <a:avLst/>
        </a:prstGeom>
      </xdr:spPr>
    </xdr:pic>
    <xdr:clientData/>
  </xdr:twoCellAnchor>
  <xdr:twoCellAnchor editAs="absolute">
    <xdr:from>
      <xdr:col>1</xdr:col>
      <xdr:colOff>474134</xdr:colOff>
      <xdr:row>1</xdr:row>
      <xdr:rowOff>67736</xdr:rowOff>
    </xdr:from>
    <xdr:to>
      <xdr:col>5</xdr:col>
      <xdr:colOff>196427</xdr:colOff>
      <xdr:row>3</xdr:row>
      <xdr:rowOff>13472</xdr:rowOff>
    </xdr:to>
    <xdr:sp macro="" textlink="">
      <xdr:nvSpPr>
        <xdr:cNvPr id="5" name="TextBox 4">
          <a:extLst>
            <a:ext uri="{FF2B5EF4-FFF2-40B4-BE49-F238E27FC236}">
              <a16:creationId xmlns:a16="http://schemas.microsoft.com/office/drawing/2014/main" id="{B8103D31-A2FD-7B80-755A-D3E8BAC791A0}"/>
            </a:ext>
          </a:extLst>
        </xdr:cNvPr>
        <xdr:cNvSpPr txBox="1"/>
      </xdr:nvSpPr>
      <xdr:spPr>
        <a:xfrm>
          <a:off x="1083734" y="254003"/>
          <a:ext cx="30141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400" b="1"/>
            <a:t>Hospital Emergency</a:t>
          </a:r>
          <a:r>
            <a:rPr lang="en-IN" sz="1400" b="1" baseline="0"/>
            <a:t> Room Dashbord</a:t>
          </a:r>
          <a:endParaRPr lang="en-IN" sz="1400" b="1"/>
        </a:p>
      </xdr:txBody>
    </xdr:sp>
    <xdr:clientData/>
  </xdr:twoCellAnchor>
  <xdr:twoCellAnchor editAs="absolute">
    <xdr:from>
      <xdr:col>1</xdr:col>
      <xdr:colOff>474134</xdr:colOff>
      <xdr:row>2</xdr:row>
      <xdr:rowOff>127003</xdr:rowOff>
    </xdr:from>
    <xdr:to>
      <xdr:col>5</xdr:col>
      <xdr:colOff>196427</xdr:colOff>
      <xdr:row>4</xdr:row>
      <xdr:rowOff>72739</xdr:rowOff>
    </xdr:to>
    <xdr:sp macro="" textlink="">
      <xdr:nvSpPr>
        <xdr:cNvPr id="6" name="TextBox 5">
          <a:extLst>
            <a:ext uri="{FF2B5EF4-FFF2-40B4-BE49-F238E27FC236}">
              <a16:creationId xmlns:a16="http://schemas.microsoft.com/office/drawing/2014/main" id="{9C4C7C82-796B-4901-82E6-D3F40EF94AEE}"/>
            </a:ext>
          </a:extLst>
        </xdr:cNvPr>
        <xdr:cNvSpPr txBox="1"/>
      </xdr:nvSpPr>
      <xdr:spPr>
        <a:xfrm>
          <a:off x="1083734" y="499536"/>
          <a:ext cx="301413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N" sz="1400" b="1"/>
            <a:t>Monthly Report</a:t>
          </a:r>
        </a:p>
      </xdr:txBody>
    </xdr:sp>
    <xdr:clientData/>
  </xdr:twoCellAnchor>
  <xdr:twoCellAnchor editAs="absolute">
    <xdr:from>
      <xdr:col>0</xdr:col>
      <xdr:colOff>373649</xdr:colOff>
      <xdr:row>5</xdr:row>
      <xdr:rowOff>132523</xdr:rowOff>
    </xdr:from>
    <xdr:to>
      <xdr:col>3</xdr:col>
      <xdr:colOff>932620</xdr:colOff>
      <xdr:row>12</xdr:row>
      <xdr:rowOff>140805</xdr:rowOff>
    </xdr:to>
    <xdr:sp macro="" textlink="">
      <xdr:nvSpPr>
        <xdr:cNvPr id="22" name="Rectangle: Rounded Corners 21">
          <a:extLst>
            <a:ext uri="{FF2B5EF4-FFF2-40B4-BE49-F238E27FC236}">
              <a16:creationId xmlns:a16="http://schemas.microsoft.com/office/drawing/2014/main" id="{7C920B11-741E-452E-AFF2-2AFCF9815773}"/>
            </a:ext>
          </a:extLst>
        </xdr:cNvPr>
        <xdr:cNvSpPr/>
      </xdr:nvSpPr>
      <xdr:spPr>
        <a:xfrm>
          <a:off x="373649" y="1043610"/>
          <a:ext cx="2401023" cy="1283804"/>
        </a:xfrm>
        <a:prstGeom prst="roundRect">
          <a:avLst>
            <a:gd name="adj" fmla="val 5246"/>
          </a:avLst>
        </a:prstGeom>
      </xdr:spPr>
      <xdr:style>
        <a:lnRef idx="2">
          <a:schemeClr val="dk1"/>
        </a:lnRef>
        <a:fillRef idx="1">
          <a:schemeClr val="lt1"/>
        </a:fillRef>
        <a:effectRef idx="0">
          <a:schemeClr val="dk1"/>
        </a:effectRef>
        <a:fontRef idx="minor">
          <a:schemeClr val="dk1"/>
        </a:fontRef>
      </xdr:style>
      <xdr:txBody>
        <a:bodyPr vertOverflow="clip" horzOverflow="clip" lIns="90000" rtlCol="0" anchor="ctr"/>
        <a:lstStyle/>
        <a:p>
          <a:pPr marL="0" indent="0" algn="l"/>
          <a:endParaRPr lang="en-IN" sz="1800" b="1">
            <a:solidFill>
              <a:schemeClr val="dk1"/>
            </a:solidFill>
            <a:latin typeface="+mn-lt"/>
            <a:ea typeface="+mn-ea"/>
            <a:cs typeface="+mn-cs"/>
          </a:endParaRPr>
        </a:p>
      </xdr:txBody>
    </xdr:sp>
    <xdr:clientData/>
  </xdr:twoCellAnchor>
  <xdr:twoCellAnchor editAs="absolute">
    <xdr:from>
      <xdr:col>0</xdr:col>
      <xdr:colOff>373651</xdr:colOff>
      <xdr:row>13</xdr:row>
      <xdr:rowOff>124238</xdr:rowOff>
    </xdr:from>
    <xdr:to>
      <xdr:col>3</xdr:col>
      <xdr:colOff>932622</xdr:colOff>
      <xdr:row>20</xdr:row>
      <xdr:rowOff>160640</xdr:rowOff>
    </xdr:to>
    <xdr:sp macro="" textlink="">
      <xdr:nvSpPr>
        <xdr:cNvPr id="26" name="Rectangle: Rounded Corners 25">
          <a:extLst>
            <a:ext uri="{FF2B5EF4-FFF2-40B4-BE49-F238E27FC236}">
              <a16:creationId xmlns:a16="http://schemas.microsoft.com/office/drawing/2014/main" id="{54C0DCE8-1325-5A92-66A2-387E5396E430}"/>
            </a:ext>
          </a:extLst>
        </xdr:cNvPr>
        <xdr:cNvSpPr/>
      </xdr:nvSpPr>
      <xdr:spPr>
        <a:xfrm>
          <a:off x="373651" y="2493064"/>
          <a:ext cx="2401023" cy="1311924"/>
        </a:xfrm>
        <a:prstGeom prst="roundRect">
          <a:avLst>
            <a:gd name="adj" fmla="val 3342"/>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373649</xdr:colOff>
      <xdr:row>21</xdr:row>
      <xdr:rowOff>140805</xdr:rowOff>
    </xdr:from>
    <xdr:to>
      <xdr:col>3</xdr:col>
      <xdr:colOff>932620</xdr:colOff>
      <xdr:row>28</xdr:row>
      <xdr:rowOff>124775</xdr:rowOff>
    </xdr:to>
    <xdr:sp macro="" textlink="">
      <xdr:nvSpPr>
        <xdr:cNvPr id="27" name="Rectangle: Rounded Corners 26">
          <a:extLst>
            <a:ext uri="{FF2B5EF4-FFF2-40B4-BE49-F238E27FC236}">
              <a16:creationId xmlns:a16="http://schemas.microsoft.com/office/drawing/2014/main" id="{402E9102-3E98-A66C-1192-114B74FDC7F3}"/>
            </a:ext>
          </a:extLst>
        </xdr:cNvPr>
        <xdr:cNvSpPr/>
      </xdr:nvSpPr>
      <xdr:spPr>
        <a:xfrm>
          <a:off x="373649" y="3967370"/>
          <a:ext cx="2401023" cy="1259492"/>
        </a:xfrm>
        <a:prstGeom prst="roundRect">
          <a:avLst>
            <a:gd name="adj" fmla="val 3071"/>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362986</xdr:colOff>
      <xdr:row>5</xdr:row>
      <xdr:rowOff>178419</xdr:rowOff>
    </xdr:from>
    <xdr:to>
      <xdr:col>3</xdr:col>
      <xdr:colOff>904146</xdr:colOff>
      <xdr:row>7</xdr:row>
      <xdr:rowOff>178216</xdr:rowOff>
    </xdr:to>
    <xdr:sp macro="" textlink="'pivot report'!A6">
      <xdr:nvSpPr>
        <xdr:cNvPr id="7" name="TextBox 6">
          <a:extLst>
            <a:ext uri="{FF2B5EF4-FFF2-40B4-BE49-F238E27FC236}">
              <a16:creationId xmlns:a16="http://schemas.microsoft.com/office/drawing/2014/main" id="{E235D0DC-F464-4BAB-B008-39962F80CA3B}"/>
            </a:ext>
          </a:extLst>
        </xdr:cNvPr>
        <xdr:cNvSpPr txBox="1"/>
      </xdr:nvSpPr>
      <xdr:spPr>
        <a:xfrm>
          <a:off x="362986" y="1092819"/>
          <a:ext cx="2369960" cy="36555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4DAFA330-14F1-44A2-BB3E-C6DEB9AEE957}" type="TxLink">
            <a:rPr lang="en-US" sz="2000" b="1" i="0" u="none" strike="noStrike">
              <a:solidFill>
                <a:srgbClr val="000000"/>
              </a:solidFill>
              <a:latin typeface="Calibri"/>
              <a:ea typeface="Calibri"/>
              <a:cs typeface="Calibri"/>
            </a:rPr>
            <a:pPr algn="ctr"/>
            <a:t>530</a:t>
          </a:fld>
          <a:endParaRPr lang="en-IN" sz="2000" b="1"/>
        </a:p>
      </xdr:txBody>
    </xdr:sp>
    <xdr:clientData/>
  </xdr:twoCellAnchor>
  <xdr:twoCellAnchor editAs="absolute">
    <xdr:from>
      <xdr:col>0</xdr:col>
      <xdr:colOff>338667</xdr:colOff>
      <xdr:row>7</xdr:row>
      <xdr:rowOff>150401</xdr:rowOff>
    </xdr:from>
    <xdr:to>
      <xdr:col>3</xdr:col>
      <xdr:colOff>896041</xdr:colOff>
      <xdr:row>9</xdr:row>
      <xdr:rowOff>150199</xdr:rowOff>
    </xdr:to>
    <xdr:sp macro="" textlink="">
      <xdr:nvSpPr>
        <xdr:cNvPr id="8" name="TextBox 7">
          <a:extLst>
            <a:ext uri="{FF2B5EF4-FFF2-40B4-BE49-F238E27FC236}">
              <a16:creationId xmlns:a16="http://schemas.microsoft.com/office/drawing/2014/main" id="{B2517B0B-C9F2-43F8-9127-E6CCD2073A96}"/>
            </a:ext>
          </a:extLst>
        </xdr:cNvPr>
        <xdr:cNvSpPr txBox="1"/>
      </xdr:nvSpPr>
      <xdr:spPr>
        <a:xfrm>
          <a:off x="338667" y="1430561"/>
          <a:ext cx="2386174" cy="36555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0"/>
            <a:t>No. of</a:t>
          </a:r>
          <a:r>
            <a:rPr lang="en-IN" sz="1800" b="0" baseline="0"/>
            <a:t> </a:t>
          </a:r>
          <a:r>
            <a:rPr lang="en-IN" sz="1600" b="0" baseline="0"/>
            <a:t>Patient</a:t>
          </a:r>
          <a:endParaRPr lang="en-IN" sz="1600" b="0"/>
        </a:p>
      </xdr:txBody>
    </xdr:sp>
    <xdr:clientData/>
  </xdr:twoCellAnchor>
  <xdr:twoCellAnchor editAs="absolute">
    <xdr:from>
      <xdr:col>0</xdr:col>
      <xdr:colOff>362986</xdr:colOff>
      <xdr:row>22</xdr:row>
      <xdr:rowOff>2323</xdr:rowOff>
    </xdr:from>
    <xdr:to>
      <xdr:col>3</xdr:col>
      <xdr:colOff>904146</xdr:colOff>
      <xdr:row>24</xdr:row>
      <xdr:rowOff>2120</xdr:rowOff>
    </xdr:to>
    <xdr:sp macro="" textlink="'pivot report'!A16">
      <xdr:nvSpPr>
        <xdr:cNvPr id="9" name="TextBox 8">
          <a:extLst>
            <a:ext uri="{FF2B5EF4-FFF2-40B4-BE49-F238E27FC236}">
              <a16:creationId xmlns:a16="http://schemas.microsoft.com/office/drawing/2014/main" id="{0E2F40EF-E859-27DA-F6DB-7D1867D33CD7}"/>
            </a:ext>
          </a:extLst>
        </xdr:cNvPr>
        <xdr:cNvSpPr txBox="1"/>
      </xdr:nvSpPr>
      <xdr:spPr>
        <a:xfrm>
          <a:off x="362986" y="4077581"/>
          <a:ext cx="2375452" cy="37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94F8177A-97FE-48AF-B67D-CADDDF72D619}" type="TxLink">
            <a:rPr lang="en-US" sz="2000" b="1" i="0" u="none" strike="noStrike">
              <a:solidFill>
                <a:srgbClr val="000000"/>
              </a:solidFill>
              <a:latin typeface="Calibri"/>
              <a:ea typeface="Calibri"/>
              <a:cs typeface="Calibri"/>
            </a:rPr>
            <a:pPr marL="0" indent="0" algn="ctr"/>
            <a:t>5.18</a:t>
          </a:fld>
          <a:endParaRPr lang="en-US" sz="2000" b="1" i="0" u="none" strike="noStrike">
            <a:solidFill>
              <a:srgbClr val="000000"/>
            </a:solidFill>
            <a:latin typeface="Calibri"/>
            <a:ea typeface="Calibri"/>
            <a:cs typeface="Calibri"/>
          </a:endParaRPr>
        </a:p>
      </xdr:txBody>
    </xdr:sp>
    <xdr:clientData/>
  </xdr:twoCellAnchor>
  <xdr:twoCellAnchor editAs="absolute">
    <xdr:from>
      <xdr:col>0</xdr:col>
      <xdr:colOff>164756</xdr:colOff>
      <xdr:row>23</xdr:row>
      <xdr:rowOff>43143</xdr:rowOff>
    </xdr:from>
    <xdr:to>
      <xdr:col>3</xdr:col>
      <xdr:colOff>1165653</xdr:colOff>
      <xdr:row>25</xdr:row>
      <xdr:rowOff>82378</xdr:rowOff>
    </xdr:to>
    <xdr:sp macro="" textlink="">
      <xdr:nvSpPr>
        <xdr:cNvPr id="10" name="TextBox 9">
          <a:extLst>
            <a:ext uri="{FF2B5EF4-FFF2-40B4-BE49-F238E27FC236}">
              <a16:creationId xmlns:a16="http://schemas.microsoft.com/office/drawing/2014/main" id="{ED6ADBE8-050C-2BFA-87CF-617D61FA2058}"/>
            </a:ext>
          </a:extLst>
        </xdr:cNvPr>
        <xdr:cNvSpPr txBox="1"/>
      </xdr:nvSpPr>
      <xdr:spPr>
        <a:xfrm>
          <a:off x="164756" y="4306224"/>
          <a:ext cx="2835189" cy="40993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600" b="0"/>
            <a:t>Patient Satisfication</a:t>
          </a:r>
          <a:r>
            <a:rPr lang="en-IN" sz="1600" b="0" baseline="0"/>
            <a:t> </a:t>
          </a:r>
          <a:r>
            <a:rPr lang="en-IN" sz="1600" b="0"/>
            <a:t>schore</a:t>
          </a:r>
        </a:p>
      </xdr:txBody>
    </xdr:sp>
    <xdr:clientData/>
  </xdr:twoCellAnchor>
  <xdr:twoCellAnchor editAs="absolute">
    <xdr:from>
      <xdr:col>0</xdr:col>
      <xdr:colOff>362986</xdr:colOff>
      <xdr:row>13</xdr:row>
      <xdr:rowOff>156731</xdr:rowOff>
    </xdr:from>
    <xdr:to>
      <xdr:col>3</xdr:col>
      <xdr:colOff>904146</xdr:colOff>
      <xdr:row>15</xdr:row>
      <xdr:rowOff>156529</xdr:rowOff>
    </xdr:to>
    <xdr:sp macro="" textlink="'pivot report'!A11">
      <xdr:nvSpPr>
        <xdr:cNvPr id="13" name="TextBox 12">
          <a:extLst>
            <a:ext uri="{FF2B5EF4-FFF2-40B4-BE49-F238E27FC236}">
              <a16:creationId xmlns:a16="http://schemas.microsoft.com/office/drawing/2014/main" id="{E09EA6BC-0909-9386-518A-B3BCD03418A4}"/>
            </a:ext>
          </a:extLst>
        </xdr:cNvPr>
        <xdr:cNvSpPr txBox="1"/>
      </xdr:nvSpPr>
      <xdr:spPr>
        <a:xfrm>
          <a:off x="362986" y="2566299"/>
          <a:ext cx="2375452" cy="37050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marL="0" indent="0" algn="ctr"/>
          <a:fld id="{C4B403D6-83BA-4EEB-BDFF-12335F3DF34B}" type="TxLink">
            <a:rPr lang="en-US" sz="2000" b="1" i="0" u="none" strike="noStrike">
              <a:solidFill>
                <a:srgbClr val="000000"/>
              </a:solidFill>
              <a:latin typeface="Calibri"/>
              <a:ea typeface="Calibri"/>
              <a:cs typeface="Calibri"/>
            </a:rPr>
            <a:pPr marL="0" indent="0" algn="ctr"/>
            <a:t>35.11</a:t>
          </a:fld>
          <a:endParaRPr lang="en-US" sz="2000" b="1" i="0" u="none" strike="noStrike">
            <a:solidFill>
              <a:srgbClr val="000000"/>
            </a:solidFill>
            <a:latin typeface="Calibri"/>
            <a:ea typeface="Calibri"/>
            <a:cs typeface="Calibri"/>
          </a:endParaRPr>
        </a:p>
      </xdr:txBody>
    </xdr:sp>
    <xdr:clientData/>
  </xdr:twoCellAnchor>
  <xdr:twoCellAnchor editAs="absolute">
    <xdr:from>
      <xdr:col>0</xdr:col>
      <xdr:colOff>338667</xdr:colOff>
      <xdr:row>15</xdr:row>
      <xdr:rowOff>73794</xdr:rowOff>
    </xdr:from>
    <xdr:to>
      <xdr:col>3</xdr:col>
      <xdr:colOff>896041</xdr:colOff>
      <xdr:row>17</xdr:row>
      <xdr:rowOff>73592</xdr:rowOff>
    </xdr:to>
    <xdr:sp macro="" textlink="">
      <xdr:nvSpPr>
        <xdr:cNvPr id="14" name="TextBox 13">
          <a:extLst>
            <a:ext uri="{FF2B5EF4-FFF2-40B4-BE49-F238E27FC236}">
              <a16:creationId xmlns:a16="http://schemas.microsoft.com/office/drawing/2014/main" id="{9F96ECFD-B1A9-A0F4-0E27-3EE5DE4C0648}"/>
            </a:ext>
          </a:extLst>
        </xdr:cNvPr>
        <xdr:cNvSpPr txBox="1"/>
      </xdr:nvSpPr>
      <xdr:spPr>
        <a:xfrm>
          <a:off x="338667" y="2854064"/>
          <a:ext cx="2391666" cy="37050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0"/>
            <a:t>Averege</a:t>
          </a:r>
          <a:r>
            <a:rPr lang="en-IN" sz="1800" b="0" baseline="0"/>
            <a:t> Wait Time </a:t>
          </a:r>
          <a:endParaRPr lang="en-IN" sz="1800" b="0"/>
        </a:p>
      </xdr:txBody>
    </xdr:sp>
    <xdr:clientData/>
  </xdr:twoCellAnchor>
  <xdr:twoCellAnchor editAs="absolute">
    <xdr:from>
      <xdr:col>17</xdr:col>
      <xdr:colOff>399986</xdr:colOff>
      <xdr:row>1</xdr:row>
      <xdr:rowOff>99393</xdr:rowOff>
    </xdr:from>
    <xdr:to>
      <xdr:col>21</xdr:col>
      <xdr:colOff>4022166</xdr:colOff>
      <xdr:row>4</xdr:row>
      <xdr:rowOff>115956</xdr:rowOff>
    </xdr:to>
    <mc:AlternateContent xmlns:mc="http://schemas.openxmlformats.org/markup-compatibility/2006" xmlns:a14="http://schemas.microsoft.com/office/drawing/2010/main">
      <mc:Choice Requires="a14">
        <xdr:graphicFrame macro="">
          <xdr:nvGraphicFramePr>
            <xdr:cNvPr id="11" name="dates (Month)">
              <a:extLst>
                <a:ext uri="{FF2B5EF4-FFF2-40B4-BE49-F238E27FC236}">
                  <a16:creationId xmlns:a16="http://schemas.microsoft.com/office/drawing/2014/main" id="{61A95BD0-FA21-41E2-BC28-56DA9887D1A7}"/>
                </a:ext>
              </a:extLst>
            </xdr:cNvPr>
            <xdr:cNvGraphicFramePr/>
          </xdr:nvGraphicFramePr>
          <xdr:xfrm>
            <a:off x="0" y="0"/>
            <a:ext cx="0" cy="0"/>
          </xdr:xfrm>
          <a:graphic>
            <a:graphicData uri="http://schemas.microsoft.com/office/drawing/2010/slicer">
              <sle:slicer xmlns:sle="http://schemas.microsoft.com/office/drawing/2010/slicer" name="dates (Month)"/>
            </a:graphicData>
          </a:graphic>
        </xdr:graphicFrame>
      </mc:Choice>
      <mc:Fallback xmlns="">
        <xdr:sp macro="" textlink="">
          <xdr:nvSpPr>
            <xdr:cNvPr id="0" name=""/>
            <xdr:cNvSpPr>
              <a:spLocks noTextEdit="1"/>
            </xdr:cNvSpPr>
          </xdr:nvSpPr>
          <xdr:spPr>
            <a:xfrm>
              <a:off x="6907065" y="279867"/>
              <a:ext cx="6068601" cy="5579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348074</xdr:colOff>
      <xdr:row>8</xdr:row>
      <xdr:rowOff>94074</xdr:rowOff>
    </xdr:from>
    <xdr:to>
      <xdr:col>3</xdr:col>
      <xdr:colOff>1009857</xdr:colOff>
      <xdr:row>12</xdr:row>
      <xdr:rowOff>97041</xdr:rowOff>
    </xdr:to>
    <xdr:graphicFrame macro="">
      <xdr:nvGraphicFramePr>
        <xdr:cNvPr id="12" name="Chart 11">
          <a:hlinkClick xmlns:r="http://schemas.openxmlformats.org/officeDocument/2006/relationships" r:id="rId2"/>
          <a:extLst>
            <a:ext uri="{FF2B5EF4-FFF2-40B4-BE49-F238E27FC236}">
              <a16:creationId xmlns:a16="http://schemas.microsoft.com/office/drawing/2014/main" id="{DD3E7A34-3A16-4D18-9BFE-DC781B6699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0</xdr:col>
      <xdr:colOff>254001</xdr:colOff>
      <xdr:row>15</xdr:row>
      <xdr:rowOff>54919</xdr:rowOff>
    </xdr:from>
    <xdr:to>
      <xdr:col>3</xdr:col>
      <xdr:colOff>1028357</xdr:colOff>
      <xdr:row>21</xdr:row>
      <xdr:rowOff>34325</xdr:rowOff>
    </xdr:to>
    <xdr:graphicFrame macro="">
      <xdr:nvGraphicFramePr>
        <xdr:cNvPr id="3" name="Chart 2">
          <a:hlinkClick xmlns:r="http://schemas.openxmlformats.org/officeDocument/2006/relationships" r:id="rId2"/>
          <a:extLst>
            <a:ext uri="{FF2B5EF4-FFF2-40B4-BE49-F238E27FC236}">
              <a16:creationId xmlns:a16="http://schemas.microsoft.com/office/drawing/2014/main" id="{CD9459DD-D396-4EE0-8DD2-8344C34E3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0</xdr:col>
      <xdr:colOff>258320</xdr:colOff>
      <xdr:row>25</xdr:row>
      <xdr:rowOff>37629</xdr:rowOff>
    </xdr:from>
    <xdr:to>
      <xdr:col>3</xdr:col>
      <xdr:colOff>957165</xdr:colOff>
      <xdr:row>28</xdr:row>
      <xdr:rowOff>126507</xdr:rowOff>
    </xdr:to>
    <xdr:graphicFrame macro="">
      <xdr:nvGraphicFramePr>
        <xdr:cNvPr id="17" name="Chart 16">
          <a:hlinkClick xmlns:r="http://schemas.openxmlformats.org/officeDocument/2006/relationships" r:id="rId2"/>
          <a:extLst>
            <a:ext uri="{FF2B5EF4-FFF2-40B4-BE49-F238E27FC236}">
              <a16:creationId xmlns:a16="http://schemas.microsoft.com/office/drawing/2014/main" id="{045A1933-D8E0-428E-B14C-3040257250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absolute">
        <xdr:from>
          <xdr:col>3</xdr:col>
          <xdr:colOff>1192860</xdr:colOff>
          <xdr:row>6</xdr:row>
          <xdr:rowOff>84667</xdr:rowOff>
        </xdr:from>
        <xdr:to>
          <xdr:col>18</xdr:col>
          <xdr:colOff>561662</xdr:colOff>
          <xdr:row>12</xdr:row>
          <xdr:rowOff>28222</xdr:rowOff>
        </xdr:to>
        <xdr:pic>
          <xdr:nvPicPr>
            <xdr:cNvPr id="29" name="Picture 28">
              <a:extLst>
                <a:ext uri="{FF2B5EF4-FFF2-40B4-BE49-F238E27FC236}">
                  <a16:creationId xmlns:a16="http://schemas.microsoft.com/office/drawing/2014/main" id="{3E133FC2-873B-1021-D657-0EDF1D328E6A}"/>
                </a:ext>
              </a:extLst>
            </xdr:cNvPr>
            <xdr:cNvPicPr>
              <a:picLocks noChangeAspect="1" noChangeArrowheads="1"/>
              <a:extLst>
                <a:ext uri="{84589F7E-364E-4C9E-8A38-B11213B215E9}">
                  <a14:cameraTool cellRange="'pivot report'!$A$50:$D$52" spid="_x0000_s1044"/>
                </a:ext>
              </a:extLst>
            </xdr:cNvPicPr>
          </xdr:nvPicPr>
          <xdr:blipFill>
            <a:blip xmlns:r="http://schemas.openxmlformats.org/officeDocument/2006/relationships" r:embed="rId6"/>
            <a:srcRect/>
            <a:stretch>
              <a:fillRect/>
            </a:stretch>
          </xdr:blipFill>
          <xdr:spPr bwMode="auto">
            <a:xfrm>
              <a:off x="3029186" y="1157111"/>
              <a:ext cx="4658186" cy="10160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3</xdr:col>
      <xdr:colOff>1098786</xdr:colOff>
      <xdr:row>14</xdr:row>
      <xdr:rowOff>9407</xdr:rowOff>
    </xdr:from>
    <xdr:to>
      <xdr:col>18</xdr:col>
      <xdr:colOff>569549</xdr:colOff>
      <xdr:row>25</xdr:row>
      <xdr:rowOff>112888</xdr:rowOff>
    </xdr:to>
    <xdr:graphicFrame macro="">
      <xdr:nvGraphicFramePr>
        <xdr:cNvPr id="30" name="Chart 29">
          <a:extLst>
            <a:ext uri="{FF2B5EF4-FFF2-40B4-BE49-F238E27FC236}">
              <a16:creationId xmlns:a16="http://schemas.microsoft.com/office/drawing/2014/main" id="{CC874F89-9AD5-4E91-AE90-67E52AE6CB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4</xdr:col>
      <xdr:colOff>459833</xdr:colOff>
      <xdr:row>25</xdr:row>
      <xdr:rowOff>178739</xdr:rowOff>
    </xdr:from>
    <xdr:to>
      <xdr:col>17</xdr:col>
      <xdr:colOff>416448</xdr:colOff>
      <xdr:row>27</xdr:row>
      <xdr:rowOff>178538</xdr:rowOff>
    </xdr:to>
    <xdr:sp macro="" textlink="">
      <xdr:nvSpPr>
        <xdr:cNvPr id="39" name="TextBox 38">
          <a:extLst>
            <a:ext uri="{FF2B5EF4-FFF2-40B4-BE49-F238E27FC236}">
              <a16:creationId xmlns:a16="http://schemas.microsoft.com/office/drawing/2014/main" id="{A74A2871-8F07-4FD0-85EC-E6B9C3EA7890}"/>
            </a:ext>
          </a:extLst>
        </xdr:cNvPr>
        <xdr:cNvSpPr txBox="1"/>
      </xdr:nvSpPr>
      <xdr:spPr>
        <a:xfrm>
          <a:off x="3762962" y="4647258"/>
          <a:ext cx="3170297" cy="35728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800" b="0"/>
            <a:t>No. of</a:t>
          </a:r>
          <a:r>
            <a:rPr lang="en-IN" sz="1800" b="0" baseline="0"/>
            <a:t> </a:t>
          </a:r>
          <a:r>
            <a:rPr lang="en-IN" sz="1600" b="0" baseline="0"/>
            <a:t>Patient by Age group</a:t>
          </a:r>
          <a:endParaRPr lang="en-IN" sz="1600" b="0"/>
        </a:p>
      </xdr:txBody>
    </xdr:sp>
    <xdr:clientData/>
  </xdr:twoCellAnchor>
  <xdr:twoCellAnchor editAs="absolute">
    <xdr:from>
      <xdr:col>19</xdr:col>
      <xdr:colOff>234911</xdr:colOff>
      <xdr:row>5</xdr:row>
      <xdr:rowOff>45311</xdr:rowOff>
    </xdr:from>
    <xdr:to>
      <xdr:col>21</xdr:col>
      <xdr:colOff>1355601</xdr:colOff>
      <xdr:row>15</xdr:row>
      <xdr:rowOff>18815</xdr:rowOff>
    </xdr:to>
    <xdr:graphicFrame macro="">
      <xdr:nvGraphicFramePr>
        <xdr:cNvPr id="40" name="Chart 39">
          <a:extLst>
            <a:ext uri="{FF2B5EF4-FFF2-40B4-BE49-F238E27FC236}">
              <a16:creationId xmlns:a16="http://schemas.microsoft.com/office/drawing/2014/main" id="{7504E705-D10D-4284-B630-E594366D1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mc:AlternateContent xmlns:mc="http://schemas.openxmlformats.org/markup-compatibility/2006">
    <mc:Choice xmlns:a14="http://schemas.microsoft.com/office/drawing/2010/main" Requires="a14">
      <xdr:twoCellAnchor editAs="absolute">
        <xdr:from>
          <xdr:col>3</xdr:col>
          <xdr:colOff>1196340</xdr:colOff>
          <xdr:row>6</xdr:row>
          <xdr:rowOff>83820</xdr:rowOff>
        </xdr:from>
        <xdr:to>
          <xdr:col>18</xdr:col>
          <xdr:colOff>562588</xdr:colOff>
          <xdr:row>12</xdr:row>
          <xdr:rowOff>30480</xdr:rowOff>
        </xdr:to>
        <xdr:pic>
          <xdr:nvPicPr>
            <xdr:cNvPr id="1035" name="Picture 28">
              <a:extLst>
                <a:ext uri="{FF2B5EF4-FFF2-40B4-BE49-F238E27FC236}">
                  <a16:creationId xmlns:a16="http://schemas.microsoft.com/office/drawing/2014/main" id="{ABDB16AD-6E81-C432-058A-494BF4F858D4}"/>
                </a:ext>
              </a:extLst>
            </xdr:cNvPr>
            <xdr:cNvPicPr>
              <a:picLocks noChangeAspect="1" noChangeArrowheads="1"/>
              <a:extLst>
                <a:ext uri="{84589F7E-364E-4C9E-8A38-B11213B215E9}">
                  <a14:cameraTool cellRange="'pivot report'!$A$50:$D$52" spid="_x0000_s1045"/>
                </a:ext>
              </a:extLst>
            </xdr:cNvPicPr>
          </xdr:nvPicPr>
          <xdr:blipFill>
            <a:blip xmlns:r="http://schemas.openxmlformats.org/officeDocument/2006/relationships" r:embed="rId9"/>
            <a:srcRect/>
            <a:stretch>
              <a:fillRect/>
            </a:stretch>
          </xdr:blipFill>
          <xdr:spPr bwMode="auto">
            <a:xfrm>
              <a:off x="3025140" y="1181100"/>
              <a:ext cx="4640580" cy="104394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absolute">
    <xdr:from>
      <xdr:col>19</xdr:col>
      <xdr:colOff>266508</xdr:colOff>
      <xdr:row>13</xdr:row>
      <xdr:rowOff>94710</xdr:rowOff>
    </xdr:from>
    <xdr:to>
      <xdr:col>21</xdr:col>
      <xdr:colOff>1402638</xdr:colOff>
      <xdr:row>16</xdr:row>
      <xdr:rowOff>37630</xdr:rowOff>
    </xdr:to>
    <xdr:sp macro="" textlink="">
      <xdr:nvSpPr>
        <xdr:cNvPr id="15" name="TextBox 14">
          <a:extLst>
            <a:ext uri="{FF2B5EF4-FFF2-40B4-BE49-F238E27FC236}">
              <a16:creationId xmlns:a16="http://schemas.microsoft.com/office/drawing/2014/main" id="{121E2931-BF2C-48D1-A421-57E67AE5B799}"/>
            </a:ext>
          </a:extLst>
        </xdr:cNvPr>
        <xdr:cNvSpPr txBox="1"/>
      </xdr:nvSpPr>
      <xdr:spPr>
        <a:xfrm>
          <a:off x="8005704" y="2418340"/>
          <a:ext cx="2361259" cy="47914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t>patient attended</a:t>
          </a:r>
          <a:r>
            <a:rPr lang="en-IN" sz="1400" b="0" baseline="0"/>
            <a:t> within Time</a:t>
          </a:r>
          <a:endParaRPr lang="en-IN" sz="1400" b="0"/>
        </a:p>
      </xdr:txBody>
    </xdr:sp>
    <xdr:clientData/>
  </xdr:twoCellAnchor>
  <xdr:twoCellAnchor editAs="absolute">
    <xdr:from>
      <xdr:col>21</xdr:col>
      <xdr:colOff>1704902</xdr:colOff>
      <xdr:row>6</xdr:row>
      <xdr:rowOff>38051</xdr:rowOff>
    </xdr:from>
    <xdr:to>
      <xdr:col>21</xdr:col>
      <xdr:colOff>3992505</xdr:colOff>
      <xdr:row>13</xdr:row>
      <xdr:rowOff>178793</xdr:rowOff>
    </xdr:to>
    <xdr:graphicFrame macro="">
      <xdr:nvGraphicFramePr>
        <xdr:cNvPr id="16" name="Chart 15">
          <a:extLst>
            <a:ext uri="{FF2B5EF4-FFF2-40B4-BE49-F238E27FC236}">
              <a16:creationId xmlns:a16="http://schemas.microsoft.com/office/drawing/2014/main" id="{331DE318-EBD0-45ED-B4A6-F432E14DC9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absolute">
    <xdr:from>
      <xdr:col>21</xdr:col>
      <xdr:colOff>1605261</xdr:colOff>
      <xdr:row>13</xdr:row>
      <xdr:rowOff>85200</xdr:rowOff>
    </xdr:from>
    <xdr:to>
      <xdr:col>21</xdr:col>
      <xdr:colOff>3959143</xdr:colOff>
      <xdr:row>16</xdr:row>
      <xdr:rowOff>28120</xdr:rowOff>
    </xdr:to>
    <xdr:sp macro="" textlink="">
      <xdr:nvSpPr>
        <xdr:cNvPr id="18" name="TextBox 17">
          <a:extLst>
            <a:ext uri="{FF2B5EF4-FFF2-40B4-BE49-F238E27FC236}">
              <a16:creationId xmlns:a16="http://schemas.microsoft.com/office/drawing/2014/main" id="{E6AD0566-93E1-44F3-A563-BD48CAFAD931}"/>
            </a:ext>
          </a:extLst>
        </xdr:cNvPr>
        <xdr:cNvSpPr txBox="1"/>
      </xdr:nvSpPr>
      <xdr:spPr>
        <a:xfrm>
          <a:off x="10525008" y="2464854"/>
          <a:ext cx="2353060" cy="49207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0"/>
            <a:t>Gender wise Analysis</a:t>
          </a:r>
          <a:r>
            <a:rPr lang="en-IN" sz="1400" b="0" baseline="0"/>
            <a:t> </a:t>
          </a:r>
          <a:endParaRPr lang="en-IN" sz="1400" b="0"/>
        </a:p>
      </xdr:txBody>
    </xdr:sp>
    <xdr:clientData/>
  </xdr:twoCellAnchor>
  <xdr:twoCellAnchor editAs="absolute">
    <xdr:from>
      <xdr:col>19</xdr:col>
      <xdr:colOff>402126</xdr:colOff>
      <xdr:row>17</xdr:row>
      <xdr:rowOff>58634</xdr:rowOff>
    </xdr:from>
    <xdr:to>
      <xdr:col>21</xdr:col>
      <xdr:colOff>3605956</xdr:colOff>
      <xdr:row>28</xdr:row>
      <xdr:rowOff>139095</xdr:rowOff>
    </xdr:to>
    <xdr:graphicFrame macro="">
      <xdr:nvGraphicFramePr>
        <xdr:cNvPr id="23" name="Chart 22">
          <a:extLst>
            <a:ext uri="{FF2B5EF4-FFF2-40B4-BE49-F238E27FC236}">
              <a16:creationId xmlns:a16="http://schemas.microsoft.com/office/drawing/2014/main" id="{26308C4D-A052-4B27-A1A9-64A150B20C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absolute">
    <xdr:from>
      <xdr:col>21</xdr:col>
      <xdr:colOff>1072035</xdr:colOff>
      <xdr:row>26</xdr:row>
      <xdr:rowOff>463</xdr:rowOff>
    </xdr:from>
    <xdr:to>
      <xdr:col>21</xdr:col>
      <xdr:colOff>4088558</xdr:colOff>
      <xdr:row>28</xdr:row>
      <xdr:rowOff>123641</xdr:rowOff>
    </xdr:to>
    <xdr:sp macro="" textlink="">
      <xdr:nvSpPr>
        <xdr:cNvPr id="24" name="TextBox 23">
          <a:extLst>
            <a:ext uri="{FF2B5EF4-FFF2-40B4-BE49-F238E27FC236}">
              <a16:creationId xmlns:a16="http://schemas.microsoft.com/office/drawing/2014/main" id="{C1378148-CF8B-41FB-A240-1BCC1BD1E456}"/>
            </a:ext>
          </a:extLst>
        </xdr:cNvPr>
        <xdr:cNvSpPr txBox="1"/>
      </xdr:nvSpPr>
      <xdr:spPr>
        <a:xfrm>
          <a:off x="10025608" y="4716435"/>
          <a:ext cx="3025154" cy="48720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t>No. of Patient by</a:t>
          </a:r>
          <a:r>
            <a:rPr lang="en-IN" sz="1400" b="1" baseline="0"/>
            <a:t> Department Referal</a:t>
          </a:r>
          <a:endParaRPr lang="en-IN" sz="1400" b="1"/>
        </a:p>
      </xdr:txBody>
    </xdr:sp>
    <xdr:clientData/>
  </xdr:twoCellAnchor>
  <xdr:twoCellAnchor editAs="absolute">
    <xdr:from>
      <xdr:col>5</xdr:col>
      <xdr:colOff>405516</xdr:colOff>
      <xdr:row>1</xdr:row>
      <xdr:rowOff>18055</xdr:rowOff>
    </xdr:from>
    <xdr:to>
      <xdr:col>17</xdr:col>
      <xdr:colOff>158714</xdr:colOff>
      <xdr:row>4</xdr:row>
      <xdr:rowOff>124634</xdr:rowOff>
    </xdr:to>
    <mc:AlternateContent xmlns:mc="http://schemas.openxmlformats.org/markup-compatibility/2006" xmlns:a14="http://schemas.microsoft.com/office/drawing/2010/main">
      <mc:Choice Requires="a14">
        <xdr:graphicFrame macro="">
          <xdr:nvGraphicFramePr>
            <xdr:cNvPr id="25" name="dates (Year)">
              <a:extLst>
                <a:ext uri="{FF2B5EF4-FFF2-40B4-BE49-F238E27FC236}">
                  <a16:creationId xmlns:a16="http://schemas.microsoft.com/office/drawing/2014/main" id="{0262A268-5C1E-4D50-B54A-F113834213DB}"/>
                </a:ext>
              </a:extLst>
            </xdr:cNvPr>
            <xdr:cNvGraphicFramePr/>
          </xdr:nvGraphicFramePr>
          <xdr:xfrm>
            <a:off x="0" y="0"/>
            <a:ext cx="0" cy="0"/>
          </xdr:xfrm>
          <a:graphic>
            <a:graphicData uri="http://schemas.microsoft.com/office/drawing/2010/slicer">
              <sle:slicer xmlns:sle="http://schemas.microsoft.com/office/drawing/2010/slicer" name="dates (Year)"/>
            </a:graphicData>
          </a:graphic>
        </xdr:graphicFrame>
      </mc:Choice>
      <mc:Fallback xmlns="">
        <xdr:sp macro="" textlink="">
          <xdr:nvSpPr>
            <xdr:cNvPr id="0" name=""/>
            <xdr:cNvSpPr>
              <a:spLocks noTextEdit="1"/>
            </xdr:cNvSpPr>
          </xdr:nvSpPr>
          <xdr:spPr>
            <a:xfrm>
              <a:off x="4315779" y="198529"/>
              <a:ext cx="2350014" cy="64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2</xdr:row>
      <xdr:rowOff>114300</xdr:rowOff>
    </xdr:from>
    <xdr:to>
      <xdr:col>8</xdr:col>
      <xdr:colOff>7620</xdr:colOff>
      <xdr:row>17</xdr:row>
      <xdr:rowOff>30480</xdr:rowOff>
    </xdr:to>
    <xdr:graphicFrame macro="">
      <xdr:nvGraphicFramePr>
        <xdr:cNvPr id="2" name="Chart 1">
          <a:extLst>
            <a:ext uri="{FF2B5EF4-FFF2-40B4-BE49-F238E27FC236}">
              <a16:creationId xmlns:a16="http://schemas.microsoft.com/office/drawing/2014/main" id="{98834121-2829-4DFD-BE0C-FB8E05DCED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144780</xdr:colOff>
      <xdr:row>2</xdr:row>
      <xdr:rowOff>106680</xdr:rowOff>
    </xdr:from>
    <xdr:to>
      <xdr:col>15</xdr:col>
      <xdr:colOff>449580</xdr:colOff>
      <xdr:row>17</xdr:row>
      <xdr:rowOff>106680</xdr:rowOff>
    </xdr:to>
    <xdr:graphicFrame macro="">
      <xdr:nvGraphicFramePr>
        <xdr:cNvPr id="4" name="Chart 3">
          <a:extLst>
            <a:ext uri="{FF2B5EF4-FFF2-40B4-BE49-F238E27FC236}">
              <a16:creationId xmlns:a16="http://schemas.microsoft.com/office/drawing/2014/main" id="{8A94D87C-94E9-4EE8-90BD-46D536E139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541020</xdr:colOff>
      <xdr:row>2</xdr:row>
      <xdr:rowOff>91440</xdr:rowOff>
    </xdr:from>
    <xdr:to>
      <xdr:col>23</xdr:col>
      <xdr:colOff>236220</xdr:colOff>
      <xdr:row>17</xdr:row>
      <xdr:rowOff>91440</xdr:rowOff>
    </xdr:to>
    <xdr:graphicFrame macro="">
      <xdr:nvGraphicFramePr>
        <xdr:cNvPr id="5" name="Chart 4">
          <a:extLst>
            <a:ext uri="{FF2B5EF4-FFF2-40B4-BE49-F238E27FC236}">
              <a16:creationId xmlns:a16="http://schemas.microsoft.com/office/drawing/2014/main" id="{254626CE-E5A5-46C9-9EAD-9AF83C7645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57870373" createdVersion="5" refreshedVersion="8" minRefreshableVersion="3" recordCount="0" supportSubquery="1" supportAdvancedDrill="1" xr:uid="{ADE1EF32-1931-4095-A3CE-4180698ADBFC}">
  <cacheSource type="external" connectionId="3"/>
  <cacheFields count="3">
    <cacheField name="[calculate_query].[dates (Month)].[dates (Month)]" caption="dates (Month)" numFmtId="0" hierarchy="2" level="1">
      <sharedItems count="1">
        <s v="Aug"/>
      </sharedItems>
    </cacheField>
    <cacheField name="[calculate_query].[dates (Year)].[dates (Year)]" caption="dates (Year)" numFmtId="0" hierarchy="4" level="1">
      <sharedItems count="1">
        <s v="2024"/>
      </sharedItems>
    </cacheField>
    <cacheField name="[calculate_query].[dates (Quarter)].[dates (Quarter)]" caption="dates (Quarter)" numFmtId="0" hierarchy="5" level="1">
      <sharedItems count="1">
        <s v="Qtr3"/>
      </sharedItems>
    </cacheField>
  </cacheFields>
  <cacheHierarchies count="38">
    <cacheHierarchy uniqueName="[calculate_query].[Column1]" caption="Column1" attribute="1" defaultMemberUniqueName="[calculate_query].[Column1].[All]" allUniqueName="[calculate_query].[Column1].[All]" dimensionUniqueName="[calculate_query]" displayFolder="" count="2" memberValueDatatype="130" unbalanced="0"/>
    <cacheHierarchy uniqueName="[calculate_query].[dates]" caption="dates" attribute="1" time="1" defaultMemberUniqueName="[calculate_query].[dates].[All]" allUniqueName="[calculate_query].[dates].[All]" dimensionUniqueName="[calculate_query]" displayFolder="" count="2"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2"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1"/>
      </fieldsUsage>
    </cacheHierarchy>
    <cacheHierarchy uniqueName="[calculate_query].[dates (Quarter)]" caption="dates (Quarter)" attribute="1" defaultMemberUniqueName="[calculate_query].[dates (Quarter)].[All]" allUniqueName="[calculate_query].[dates (Quarter)].[All]" dimensionUniqueName="[calculate_query]"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2"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2"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2"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59953705" createdVersion="5" refreshedVersion="8" minRefreshableVersion="3" recordCount="0" supportSubquery="1" supportAdvancedDrill="1" xr:uid="{AED23ED3-8E45-4295-952F-58B60B2C09FB}">
  <cacheSource type="external" connectionId="3"/>
  <cacheFields count="3">
    <cacheField name="[Measures].[Distinct Count of Patient Id]" caption="Distinct Count of Patient Id" numFmtId="0" hierarchy="29" level="32767"/>
    <cacheField name="[calculate_query].[dates (Month)].[dates (Month)]" caption="dates (Month)" numFmtId="0" hierarchy="2" level="1">
      <sharedItems containsSemiMixedTypes="0" containsNonDate="0" containsString="0"/>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1"/>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2"/>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0648152" createdVersion="5" refreshedVersion="8" minRefreshableVersion="3" recordCount="0" supportSubquery="1" supportAdvancedDrill="1" xr:uid="{2FEEF983-58C9-4EAA-96F9-D3756F18E9E6}">
  <cacheSource type="external" connectionId="3"/>
  <cacheFields count="4">
    <cacheField name="[calculate_query].[dates (Month)].[dates (Month)]" caption="dates (Month)" numFmtId="0" hierarchy="2" level="1">
      <sharedItems containsSemiMixedTypes="0" containsNonDate="0" containsString="0"/>
    </cacheField>
    <cacheField name="[Measures].[Count of age group]" caption="Count of age group" numFmtId="0" hierarchy="34" level="32767"/>
    <cacheField name="[Hospital Emergency Room Data].[age group].[age group]" caption="age group" numFmtId="0" hierarchy="17" level="1">
      <sharedItems count="8">
        <s v="0-09"/>
        <s v="10-19"/>
        <s v="20-29"/>
        <s v="30-39"/>
        <s v="40-49"/>
        <s v="50-59"/>
        <s v="60-69"/>
        <s v="70-79"/>
      </sharedItems>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1458337" createdVersion="5" refreshedVersion="8" minRefreshableVersion="3" recordCount="0" supportSubquery="1" supportAdvancedDrill="1" xr:uid="{F2446BA1-1E59-49A3-8691-E323F0512FD1}">
  <cacheSource type="external" connectionId="3"/>
  <cacheFields count="4">
    <cacheField name="[Measures].[Distinct Count of Patient Id]" caption="Distinct Count of Patient Id" numFmtId="0" hierarchy="29" level="32767"/>
    <cacheField name="[calculate_query].[dates (Day)].[dates (Day)]" caption="dates (Day)" numFmtId="0" hierarchy="3"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culate_query].[dates (Month)].[dates (Month)]" caption="dates (Month)" numFmtId="0" hierarchy="2" level="1">
      <sharedItems containsSemiMixedTypes="0" containsNonDate="0" containsString="0"/>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2"/>
      </fieldsUsage>
    </cacheHierarchy>
    <cacheHierarchy uniqueName="[calculate_query].[dates (Day)]" caption="dates (Day)" attribute="1" defaultMemberUniqueName="[calculate_query].[dates (Day)].[All]" allUniqueName="[calculate_query].[dates (Day)].[All]" dimensionUniqueName="[calculate_query]" displayFolder="" count="2" memberValueDatatype="130" unbalanced="0">
      <fieldsUsage count="2">
        <fieldUsage x="-1"/>
        <fieldUsage x="1"/>
      </fieldsUsage>
    </cacheHierarchy>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4004631" createdVersion="5" refreshedVersion="8" minRefreshableVersion="3" recordCount="0" supportSubquery="1" supportAdvancedDrill="1" xr:uid="{8B33E980-BF2E-4AAD-AE4F-71880C687A74}">
  <cacheSource type="external" connectionId="3"/>
  <cacheFields count="4">
    <cacheField name="[calculate_query].[dates (Month)].[dates (Month)]" caption="dates (Month)" numFmtId="0" hierarchy="2" level="1">
      <sharedItems containsSemiMixedTypes="0" containsNonDate="0" containsString="0"/>
    </cacheField>
    <cacheField name="[Hospital Emergency Room Data].[time].[time]" caption="time" numFmtId="0" hierarchy="18" level="1">
      <sharedItems count="2">
        <s v="Delay"/>
        <s v="Ontime"/>
      </sharedItems>
    </cacheField>
    <cacheField name="[Measures].[Count of Patient Id]" caption="Count of Patient Id" numFmtId="0" hierarchy="24" level="32767"/>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2" memberValueDatatype="130" unbalanced="0">
      <fieldsUsage count="2">
        <fieldUsage x="-1"/>
        <fieldUsage x="1"/>
      </fieldsUsage>
    </cacheHierarchy>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4930555" createdVersion="5" refreshedVersion="8" minRefreshableVersion="3" recordCount="0" supportSubquery="1" supportAdvancedDrill="1" xr:uid="{1CA74648-EFFE-4978-8406-D3134DC257EC}">
  <cacheSource type="external" connectionId="3"/>
  <cacheFields count="4">
    <cacheField name="[calculate_query].[dates (Month)].[dates (Month)]" caption="dates (Month)" numFmtId="0" hierarchy="2" level="1">
      <sharedItems containsSemiMixedTypes="0" containsNonDate="0" containsString="0"/>
    </cacheField>
    <cacheField name="[Measures].[Count of Patient Gender]" caption="Count of Patient Gender" numFmtId="0" hierarchy="37" level="32767"/>
    <cacheField name="[Hospital Emergency Room Data].[Patient Gender].[Patient Gender]" caption="Patient Gender" numFmtId="0" hierarchy="10" level="1">
      <sharedItems count="2">
        <s v="Female"/>
        <s v="Male"/>
      </sharedItems>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5625001" createdVersion="5" refreshedVersion="8" minRefreshableVersion="3" recordCount="0" supportSubquery="1" supportAdvancedDrill="1" xr:uid="{CE0A0E0F-BF58-4A7A-BB8B-2A7CCCF645A9}">
  <cacheSource type="external" connectionId="3"/>
  <cacheFields count="4">
    <cacheField name="[calculate_query].[dates (Month)].[dates (Month)]" caption="dates (Month)" numFmtId="0" hierarchy="2" level="1">
      <sharedItems containsSemiMixedTypes="0" containsNonDate="0" containsString="0"/>
    </cacheField>
    <cacheField name="[Measures].[Count of Patient Id]" caption="Count of Patient Id" numFmtId="0" hierarchy="24" level="32767"/>
    <cacheField name="[Hospital Emergency Room Data].[Department Referral].[Department Referral]" caption="Department Referral" numFmtId="0" hierarchy="13" level="1">
      <sharedItems count="8">
        <s v="Cardiology"/>
        <s v="Gastroenterology"/>
        <s v="General Practice"/>
        <s v="Neurology"/>
        <s v="None"/>
        <s v="Orthopedics"/>
        <s v="Physiotherapy"/>
        <s v="Renal"/>
      </sharedItems>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7013887" createdVersion="5" refreshedVersion="8" minRefreshableVersion="3" recordCount="0" supportSubquery="1" supportAdvancedDrill="1" xr:uid="{943AF7CD-3FFF-47F5-A171-64A57C6D540F}">
  <cacheSource type="external" connectionId="3"/>
  <cacheFields count="3">
    <cacheField name="[Measures].[Average of Patient Waittime]" caption="Average of Patient Waittime" numFmtId="0" hierarchy="26" level="32767"/>
    <cacheField name="[calculate_query].[dates (Month)].[dates (Month)]" caption="dates (Month)" numFmtId="0" hierarchy="2" level="1">
      <sharedItems containsSemiMixedTypes="0" containsNonDate="0" containsString="0"/>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1"/>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2"/>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7476849" createdVersion="5" refreshedVersion="8" minRefreshableVersion="3" recordCount="0" supportSubquery="1" supportAdvancedDrill="1" xr:uid="{55CD7441-4C16-449D-B68C-29B6222E8043}">
  <cacheSource type="external" connectionId="3"/>
  <cacheFields count="3">
    <cacheField name="[Measures].[Average of Patient Satisfaction Score]" caption="Average of Patient Satisfaction Score" numFmtId="0" hierarchy="28" level="32767"/>
    <cacheField name="[calculate_query].[dates (Month)].[dates (Month)]" caption="dates (Month)" numFmtId="0" hierarchy="2" level="1">
      <sharedItems containsSemiMixedTypes="0" containsNonDate="0" containsString="0"/>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1"/>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2"/>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7939818" createdVersion="5" refreshedVersion="8" minRefreshableVersion="3" recordCount="0" supportSubquery="1" supportAdvancedDrill="1" xr:uid="{6C9A7150-4F81-4794-B831-8EBA3D0F24DF}">
  <cacheSource type="external" connectionId="3"/>
  <cacheFields count="2">
    <cacheField name="[Measures].[Count of Patient Id]" caption="Count of Patient Id" numFmtId="0" hierarchy="24" level="32767"/>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0" memberValueDatatype="130" unbalanced="0"/>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1"/>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8287034" createdVersion="5" refreshedVersion="8" minRefreshableVersion="3" recordCount="0" supportSubquery="1" supportAdvancedDrill="1" xr:uid="{92872C9B-F94B-44E5-A9B4-F996B0A7891A}">
  <cacheSource type="external" connectionId="3"/>
  <cacheFields count="2">
    <cacheField name="[Measures].[Count of Patient Id]" caption="Count of Patient Id" numFmtId="0" hierarchy="24" level="32767"/>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0" memberValueDatatype="130" unbalanced="0"/>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1"/>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68865742" createdVersion="5" refreshedVersion="8" minRefreshableVersion="3" recordCount="0" supportSubquery="1" supportAdvancedDrill="1" xr:uid="{D8217C8E-0372-4325-AC34-4A435736E717}">
  <cacheSource type="external" connectionId="3"/>
  <cacheFields count="5">
    <cacheField name="[calculate_query].[dates (Month)].[dates (Month)]" caption="dates (Month)" numFmtId="0" hierarchy="2" level="1">
      <sharedItems containsSemiMixedTypes="0" containsNonDate="0" containsString="0"/>
    </cacheField>
    <cacheField name="[Measures].[Count of Patient Admission Flag]" caption="Count of Patient Admission Flag" numFmtId="0" hierarchy="32" level="32767"/>
    <cacheField name="[Hospital Emergency Room Data].[Patient Admission Flag].[Patient Admission Flag]" caption="Patient Admission Flag" numFmtId="0" hierarchy="14" level="1">
      <sharedItems count="2">
        <s v="Admitted"/>
        <s v="Not Admitted"/>
      </sharedItems>
    </cacheField>
    <cacheField name="[calculate_query].[dates (Year)].[dates (Year)]" caption="dates (Year)" numFmtId="0" hierarchy="4" level="1">
      <sharedItems containsSemiMixedTypes="0" containsNonDate="0" containsString="0"/>
    </cacheField>
    <cacheField name="Unsupported0" numFmtId="0" hierarchy="38" level="32767">
      <extLst>
        <ext xmlns:x14="http://schemas.microsoft.com/office/spreadsheetml/2009/9/main" uri="{63CAB8AC-B538-458d-9737-405883B0398D}">
          <x14:cacheField ignore="1"/>
        </ext>
      </extLst>
    </cacheField>
  </cacheFields>
  <cacheHierarchies count="39">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0"/>
      </fieldsUsage>
    </cacheHierarchy>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y uniqueName="Unsupported0" caption="Column1" measure="1" count="0">
      <extLst>
        <ext xmlns:x14="http://schemas.microsoft.com/office/spreadsheetml/2009/9/main" uri="{8CF416AD-EC4C-4aba-99F5-12A058AE0983}">
          <x14:cacheHierarchy ignore="1"/>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7002315" createdVersion="5" refreshedVersion="8" minRefreshableVersion="3" recordCount="0" supportSubquery="1" supportAdvancedDrill="1" xr:uid="{DF385A94-924D-4F93-9546-41A000FC5471}">
  <cacheSource type="external" connectionId="3"/>
  <cacheFields count="4">
    <cacheField name="[Measures].[Distinct Count of Patient Id]" caption="Distinct Count of Patient Id" numFmtId="0" hierarchy="29" level="32767"/>
    <cacheField name="[calculate_query].[dates (Day)].[dates (Day)]" caption="dates (Day)" numFmtId="0" hierarchy="3"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culate_query].[dates (Month)].[dates (Month)]" caption="dates (Month)" numFmtId="0" hierarchy="2" level="1">
      <sharedItems containsSemiMixedTypes="0" containsNonDate="0" containsString="0"/>
    </cacheField>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2"/>
      </fieldsUsage>
    </cacheHierarchy>
    <cacheHierarchy uniqueName="[calculate_query].[dates (Day)]" caption="dates (Day)" attribute="1" defaultMemberUniqueName="[calculate_query].[dates (Day)].[All]" allUniqueName="[calculate_query].[dates (Day)].[All]" dimensionUniqueName="[calculate_query]" displayFolder="" count="2" memberValueDatatype="130" unbalanced="0">
      <fieldsUsage count="2">
        <fieldUsage x="-1"/>
        <fieldUsage x="1"/>
      </fieldsUsage>
    </cacheHierarchy>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70833336" createdVersion="5" refreshedVersion="8" minRefreshableVersion="3" recordCount="0" supportSubquery="1" supportAdvancedDrill="1" xr:uid="{3EBAD305-25AF-4160-99A2-14B3B0EC36AE}">
  <cacheSource type="external" connectionId="3"/>
  <cacheFields count="4">
    <cacheField name="[calculate_query].[dates (Day)].[dates (Day)]" caption="dates (Day)" numFmtId="0" hierarchy="3" level="1">
      <sharedItems count="31">
        <s v="1-Aug"/>
        <s v="2-Aug"/>
        <s v="3-Aug"/>
        <s v="4-Aug"/>
        <s v="5-Aug"/>
        <s v="6-Aug"/>
        <s v="7-Aug"/>
        <s v="8-Aug"/>
        <s v="9-Aug"/>
        <s v="10-Aug"/>
        <s v="11-Aug"/>
        <s v="12-Aug"/>
        <s v="13-Aug"/>
        <s v="14-Aug"/>
        <s v="15-Aug"/>
        <s v="16-Aug"/>
        <s v="17-Aug"/>
        <s v="18-Aug"/>
        <s v="19-Aug"/>
        <s v="20-Aug"/>
        <s v="21-Aug"/>
        <s v="22-Aug"/>
        <s v="23-Aug"/>
        <s v="24-Aug"/>
        <s v="25-Aug"/>
        <s v="26-Aug"/>
        <s v="27-Aug"/>
        <s v="28-Aug"/>
        <s v="29-Aug"/>
        <s v="30-Aug"/>
        <s v="31-Aug"/>
      </sharedItems>
    </cacheField>
    <cacheField name="[calculate_query].[dates (Month)].[dates (Month)]" caption="dates (Month)" numFmtId="0" hierarchy="2" level="1">
      <sharedItems containsSemiMixedTypes="0" containsNonDate="0" containsString="0"/>
    </cacheField>
    <cacheField name="[Measures].[Average of Patient Waittime]" caption="Average of Patient Waittime" numFmtId="0" hierarchy="26" level="32767"/>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1"/>
      </fieldsUsage>
    </cacheHierarchy>
    <cacheHierarchy uniqueName="[calculate_query].[dates (Day)]" caption="dates (Day)" attribute="1" defaultMemberUniqueName="[calculate_query].[dates (Day)].[All]" allUniqueName="[calculate_query].[dates (Day)].[All]" dimensionUniqueName="[calculate_query]" displayFolder="" count="2" memberValueDatatype="130" unbalanced="0">
      <fieldsUsage count="2">
        <fieldUsage x="-1"/>
        <fieldUsage x="0"/>
      </fieldsUsage>
    </cacheHierarchy>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73.823372106483" createdVersion="5" refreshedVersion="8" minRefreshableVersion="3" recordCount="0" supportSubquery="1" supportAdvancedDrill="1" xr:uid="{ABF4310A-8C12-4C51-B943-03DEC887EA88}">
  <cacheSource type="external" connectionId="3"/>
  <cacheFields count="4">
    <cacheField name="[calculate_query].[dates (Day)].[dates (Day)]" caption="dates (Day)" numFmtId="0" hierarchy="3" level="1">
      <sharedItems count="30">
        <s v="1-Aug"/>
        <s v="2-Aug"/>
        <s v="3-Aug"/>
        <s v="4-Aug"/>
        <s v="5-Aug"/>
        <s v="6-Aug"/>
        <s v="8-Aug"/>
        <s v="9-Aug"/>
        <s v="10-Aug"/>
        <s v="11-Aug"/>
        <s v="12-Aug"/>
        <s v="13-Aug"/>
        <s v="14-Aug"/>
        <s v="15-Aug"/>
        <s v="16-Aug"/>
        <s v="17-Aug"/>
        <s v="18-Aug"/>
        <s v="19-Aug"/>
        <s v="20-Aug"/>
        <s v="21-Aug"/>
        <s v="22-Aug"/>
        <s v="23-Aug"/>
        <s v="24-Aug"/>
        <s v="25-Aug"/>
        <s v="26-Aug"/>
        <s v="27-Aug"/>
        <s v="28-Aug"/>
        <s v="29-Aug"/>
        <s v="30-Aug"/>
        <s v="31-Aug"/>
      </sharedItems>
    </cacheField>
    <cacheField name="[calculate_query].[dates (Month)].[dates (Month)]" caption="dates (Month)" numFmtId="0" hierarchy="2" level="1">
      <sharedItems containsSemiMixedTypes="0" containsNonDate="0" containsString="0"/>
    </cacheField>
    <cacheField name="[Measures].[Sum of Patient Satisfaction Score]" caption="Sum of Patient Satisfaction Score" numFmtId="0" hierarchy="27" level="32767"/>
    <cacheField name="[calculate_query].[dates (Year)].[dates (Year)]" caption="dates (Year)" numFmtId="0" hierarchy="4" level="1">
      <sharedItems containsSemiMixedTypes="0" containsNonDate="0" containsString="0"/>
    </cacheField>
  </cacheFields>
  <cacheHierarchies count="38">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fieldsUsage count="2">
        <fieldUsage x="-1"/>
        <fieldUsage x="1"/>
      </fieldsUsage>
    </cacheHierarchy>
    <cacheHierarchy uniqueName="[calculate_query].[dates (Day)]" caption="dates (Day)" attribute="1" defaultMemberUniqueName="[calculate_query].[dates (Day)].[All]" allUniqueName="[calculate_query].[dates (Day)].[All]" dimensionUniqueName="[calculate_query]" displayFolder="" count="2" memberValueDatatype="130" unbalanced="0">
      <fieldsUsage count="2">
        <fieldUsage x="-1"/>
        <fieldUsage x="0"/>
      </fieldsUsage>
    </cacheHierarchy>
    <cacheHierarchy uniqueName="[calculate_query].[dates (Year)]" caption="dates (Year)" attribute="1" defaultMemberUniqueName="[calculate_query].[dates (Year)].[All]" allUniqueName="[calculate_query].[dates (Year)].[All]" dimensionUniqueName="[calculate_query]" displayFolder="" count="2" memberValueDatatype="130" unbalanced="0">
      <fieldsUsage count="2">
        <fieldUsage x="-1"/>
        <fieldUsage x="3"/>
      </fieldsUsage>
    </cacheHierarchy>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y uniqueName="[Measures].[Count of dates (Day)]" caption="Count of dates (Day)" measure="1" displayFolder="" measureGroup="calculate_query" count="0" hidden="1">
      <extLst>
        <ext xmlns:x15="http://schemas.microsoft.com/office/spreadsheetml/2010/11/main" uri="{B97F6D7D-B522-45F9-BDA1-12C45D357490}">
          <x15:cacheHierarchy aggregatedColumn="3"/>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Age]" caption="Sum of Patient Age" measure="1" displayFolder="" measureGroup="Hospital Emergency Room Data" count="0" hidden="1">
      <extLst>
        <ext xmlns:x15="http://schemas.microsoft.com/office/spreadsheetml/2010/11/main" uri="{B97F6D7D-B522-45F9-BDA1-12C45D357490}">
          <x15:cacheHierarchy aggregatedColumn="11"/>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time]" caption="Count of time" measure="1" displayFolder="" measureGroup="Hospital Emergency Room Data" count="0" hidden="1">
      <extLst>
        <ext xmlns:x15="http://schemas.microsoft.com/office/spreadsheetml/2010/11/main" uri="{B97F6D7D-B522-45F9-BDA1-12C45D357490}">
          <x15:cacheHierarchy aggregatedColumn="18"/>
        </ext>
      </extLst>
    </cacheHierarchy>
    <cacheHierarchy uniqueName="[Measures].[Count of Patient Waittime]" caption="Count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10"/>
        </ext>
      </extLst>
    </cacheHierarchy>
  </cacheHierarchies>
  <kpis count="0"/>
  <dimensions count="3">
    <dimension name="calculate_query" uniqueName="[calculate_query]" caption="calculate_query"/>
    <dimension name="Hospital Emergency Room Data" uniqueName="[Hospital Emergency Room Data]" caption="Hospital Emergency Room Data"/>
    <dimension measure="1" name="Measures" uniqueName="[Measures]" caption="Measures"/>
  </dimensions>
  <measureGroups count="2">
    <measureGroup name="calculate_query" caption="calculate_query"/>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RAVID" refreshedDate="46262.571519560188" createdVersion="3" refreshedVersion="8" minRefreshableVersion="3" recordCount="0" supportSubquery="1" supportAdvancedDrill="1" xr:uid="{C864D990-3974-4477-A6CF-E33A345F96F0}">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calculate_query].[Column1]" caption="Column1" attribute="1" defaultMemberUniqueName="[calculate_query].[Column1].[All]" allUniqueName="[calculate_query].[Column1].[All]" dimensionUniqueName="[calculate_query]" displayFolder="" count="0" memberValueDatatype="130" unbalanced="0"/>
    <cacheHierarchy uniqueName="[calculate_query].[dates]" caption="dates" attribute="1" time="1" defaultMemberUniqueName="[calculate_query].[dates].[All]" allUniqueName="[calculate_query].[dates].[All]" dimensionUniqueName="[calculate_query]" displayFolder="" count="0" memberValueDatatype="7" unbalanced="0"/>
    <cacheHierarchy uniqueName="[calculate_query].[dates (Month)]" caption="dates (Month)" attribute="1" defaultMemberUniqueName="[calculate_query].[dates (Month)].[All]" allUniqueName="[calculate_query].[dates (Month)].[All]" dimensionUniqueName="[calculate_query]" displayFolder="" count="2" memberValueDatatype="130" unbalanced="0"/>
    <cacheHierarchy uniqueName="[calculate_query].[dates (Day)]" caption="dates (Day)" attribute="1" defaultMemberUniqueName="[calculate_query].[dates (Day)].[All]" allUniqueName="[calculate_query].[dates (Day)].[All]" dimensionUniqueName="[calculate_query]" displayFolder="" count="0" memberValueDatatype="130" unbalanced="0"/>
    <cacheHierarchy uniqueName="[calculate_query].[dates (Year)]" caption="dates (Year)" attribute="1" defaultMemberUniqueName="[calculate_query].[dates (Year)].[All]" allUniqueName="[calculate_query].[dates (Year)].[All]" dimensionUniqueName="[calculate_query]" displayFolder="" count="2" memberValueDatatype="130" unbalanced="0"/>
    <cacheHierarchy uniqueName="[calculate_query].[dates (Quarter)]" caption="dates (Quarter)" attribute="1" defaultMemberUniqueName="[calculate_query].[dates (Quarter)].[All]" allUniqueName="[calculate_query].[dates (Quarter)].[All]" dimensionUniqueName="[calculate_query]"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1]" caption="Patient Admission Date.1" attribute="1" time="1" defaultMemberUniqueName="[Hospital Emergency Room Data].[Patient Admission Date.1].[All]" allUniqueName="[Hospital Emergency Room Data].[Patient Admission Date.1].[All]" dimensionUniqueName="[Hospital Emergency Room Data]" displayFolder="" count="0" memberValueDatatype="7" unbalanced="0"/>
    <cacheHierarchy uniqueName="[Hospital Emergency Room Data].[Patient Admission Date.2]" caption="Patient Admission Date.2" attribute="1" time="1" defaultMemberUniqueName="[Hospital Emergency Room Data].[Patient Admission Date.2].[All]" allUniqueName="[Hospital Emergency Room Data].[Patient Admission Date.2].[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time]" caption="time" attribute="1" defaultMemberUniqueName="[Hospital Emergency Room Data].[time].[All]" allUniqueName="[Hospital Emergency Room Data].[time].[All]" dimensionUniqueName="[Hospital Emergency Room Data]" displayFolder="" count="0" memberValueDatatype="130" unbalanced="0"/>
    <cacheHierarchy uniqueName="[calculate_query].[dates (Day Index)]" caption="dates (Day Index)" attribute="1" defaultMemberUniqueName="[calculate_query].[dates (Day Index)].[All]" allUniqueName="[calculate_query].[dates (Day Index)].[All]" dimensionUniqueName="[calculate_query]" displayFolder="" count="0" memberValueDatatype="5" unbalanced="0" hidden="1"/>
    <cacheHierarchy uniqueName="[calculate_query].[dates (Month Index)]" caption="dates (Month Index)" attribute="1" defaultMemberUniqueName="[calculate_query].[dates (Month Index)].[All]" allUniqueName="[calculate_query].[dates (Month Index)].[All]" dimensionUniqueName="[calculate_query]"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culate_query]" caption="__XL_Count calculate_query" measure="1" displayFolder="" measureGroup="calculate_query"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Column1]" caption="Count of Column1" measure="1" displayFolder="" measureGroup="calculate_query"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774867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99CBF4F-891A-49D1-A7BF-D943941AA8CA}" name="PivotTable15" cacheId="0"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65">
  <location ref="G71:G75" firstHeaderRow="1" firstDataRow="1" firstDataCol="1"/>
  <pivotFields count="3">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s="1" x="0"/>
      </items>
    </pivotField>
    <pivotField axis="axisRow" allDrilled="1" subtotalTop="0" showAll="0" dataSourceSort="1" defaultSubtotal="0" defaultAttributeDrillState="1">
      <items count="1">
        <item x="0"/>
      </items>
    </pivotField>
  </pivotFields>
  <rowFields count="3">
    <field x="1"/>
    <field x="2"/>
    <field x="0"/>
  </rowFields>
  <rowItems count="4">
    <i>
      <x/>
    </i>
    <i r="1">
      <x/>
    </i>
    <i r="2">
      <x/>
    </i>
    <i t="grand">
      <x/>
    </i>
  </rowItems>
  <formats count="2">
    <format dxfId="1">
      <pivotArea outline="0" collapsedLevelsAreSubtotals="1" fieldPosition="0"/>
    </format>
    <format dxfId="0">
      <pivotArea grandRow="1" outline="0" collapsedLevelsAreSubtotals="1" fieldPosition="0"/>
    </format>
  </formats>
  <pivotHierarchies count="38">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ies>
  <pivotTableStyleInfo name="PivotStyleLight16" showRowHeaders="1" showColHeaders="1" showRowStripes="0" showColStripes="0" showLastColumn="1"/>
  <rowHierarchiesUsage count="3">
    <rowHierarchyUsage hierarchyUsage="4"/>
    <rowHierarchyUsage hierarchyUsage="5"/>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AA3A05-C90F-4721-83CD-076CD082C5D0}" name="PivotTable14" cacheId="6"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65">
  <location ref="D70:E79"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Patient Id" fld="1" subtotal="count" baseField="0" baseItem="0"/>
  </dataFields>
  <formats count="3">
    <format dxfId="4">
      <pivotArea outline="0" collapsedLevelsAreSubtotals="1" fieldPosition="0"/>
    </format>
    <format dxfId="3">
      <pivotArea grandRow="1" outline="0" collapsedLevelsAreSubtotals="1" fieldPosition="0"/>
    </format>
    <format dxfId="2">
      <pivotArea collapsedLevelsAreSubtotals="1" fieldPosition="0">
        <references count="1">
          <reference field="2" count="0"/>
        </references>
      </pivotArea>
    </format>
  </formats>
  <chartFormats count="1">
    <chartFormat chart="64"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ECE5DDE-2583-4F85-AA50-A3C7B364262F}" name="PivotTable11" cacheId="3" applyNumberFormats="0" applyBorderFormats="0" applyFontFormats="0" applyPatternFormats="0" applyAlignmentFormats="0" applyWidthHeightFormats="1" dataCaption="Values" tag="c990b2bb-de2a-48ae-8afa-ffc75f1c12c3" updatedVersion="8" minRefreshableVersion="3" subtotalHiddenItems="1" itemPrintTitles="1" createdVersion="5" indent="0" outline="1" outlineData="1" multipleFieldFilters="0" chartFormat="4">
  <location ref="C5:D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1A7DB2-0913-4CEB-ABDC-12CDB9655C80}" name="PivotTable6" cacheId="11"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49">
  <location ref="A44:C47"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6">
      <pivotArea outline="0" collapsedLevelsAreSubtotals="1" fieldPosition="0"/>
    </format>
    <format dxfId="5">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0"/>
          </reference>
        </references>
      </pivotArea>
    </chartFormat>
  </chartFormats>
  <pivotHierarchies count="39">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C0D85D-80B4-4199-9BB7-89D8A59F6CC7}" name="PivotTable9" cacheId="14" applyNumberFormats="0" applyBorderFormats="0" applyFontFormats="0" applyPatternFormats="0" applyAlignmentFormats="0" applyWidthHeightFormats="1" dataCaption="Values" tag="c990b2bb-de2a-48ae-8afa-ffc75f1c12c3" updatedVersion="8" minRefreshableVersion="3" subtotalHiddenItems="1" itemPrintTitles="1" createdVersion="5" indent="0" outline="1" outlineData="1" multipleFieldFilters="0" chartFormat="28">
  <location ref="O5:P36"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Patient Satisfaction Score" fld="2" baseField="0" baseItem="0"/>
  </dataFields>
  <chartFormats count="5">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27" format="6"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329394B-BB66-420E-A937-75A7DCD1121D}" name="PivotTable10" cacheId="2"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42">
  <location ref="A58:B6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7">
      <pivotArea outline="0" collapsedLevelsAreSubtotals="1" fieldPosition="0"/>
    </format>
  </formats>
  <chartFormats count="1">
    <chartFormat chart="41" format="2"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5BA960-53EB-4FBD-ADBD-CF42CAAF1627}" name="PivotTable8" cacheId="13" applyNumberFormats="0" applyBorderFormats="0" applyFontFormats="0" applyPatternFormats="0" applyAlignmentFormats="0" applyWidthHeightFormats="1" dataCaption="Values" tag="66b062db-e603-4542-a918-eae70729f8d0" updatedVersion="8" minRefreshableVersion="3" subtotalHiddenItems="1" itemPrintTitles="1" createdVersion="5" indent="0" outline="1" outlineData="1" multipleFieldFilters="0" chartFormat="51">
  <location ref="K5:L37"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0" numFmtId="2"/>
  </dataFields>
  <formats count="1">
    <format dxfId="8">
      <pivotArea outline="0" collapsedLevelsAreSubtotals="1" fieldPosition="0"/>
    </format>
  </formats>
  <chartFormats count="5">
    <chartFormat chart="31"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 chart="45" format="3" series="1">
      <pivotArea type="data" outline="0" fieldPosition="0">
        <references count="1">
          <reference field="4294967294" count="1" selected="0">
            <x v="0"/>
          </reference>
        </references>
      </pivotArea>
    </chartFormat>
    <chartFormat chart="46" format="4" series="1">
      <pivotArea type="data" outline="0" fieldPosition="0">
        <references count="1">
          <reference field="4294967294" count="1" selected="0">
            <x v="0"/>
          </reference>
        </references>
      </pivotArea>
    </chartFormat>
    <chartFormat chart="47" format="4"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E3F268-5593-4040-9636-C96AD3C1CBA6}" name="PivotTable7" cacheId="12" applyNumberFormats="0" applyBorderFormats="0" applyFontFormats="0" applyPatternFormats="0" applyAlignmentFormats="0" applyWidthHeightFormats="1" dataCaption="Values" tag="66b062db-e603-4542-a918-eae70729f8d0" updatedVersion="8" minRefreshableVersion="3" subtotalHiddenItems="1" itemPrintTitles="1" createdVersion="5" indent="0" outline="1" outlineData="1" multipleFieldFilters="0" chartFormat="32">
  <location ref="H5:I37"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B9F3582-D343-4288-A0E7-6F389ECA4B1E}" name="PivotTable2" cacheId="7" applyNumberFormats="0" applyBorderFormats="0" applyFontFormats="0" applyPatternFormats="0" applyAlignmentFormats="0" applyWidthHeightFormats="1" dataCaption="Values" tag="5c1c9e04-e4a2-4795-938a-ed16784f5920" updatedVersion="8"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9">
      <pivotArea outline="0" collapsedLevelsAreSubtotals="1" fieldPosition="0"/>
    </format>
  </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36EE3F4-144D-4B72-AEB0-9972A5980514}" name="PivotTable3" cacheId="8"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1">
    <format dxfId="10">
      <pivotArea outline="0" collapsedLevelsAreSubtotals="1" fieldPosition="0"/>
    </format>
  </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D172B1-9150-4639-91DE-F176019D4519}" name="PivotTable12" cacheId="4"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49">
  <location ref="D58:E61"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3">
    <format dxfId="13">
      <pivotArea outline="0" collapsedLevelsAreSubtotals="1" fieldPosition="0"/>
    </format>
    <format dxfId="12">
      <pivotArea collapsedLevelsAreSubtotals="1" fieldPosition="0">
        <references count="1">
          <reference field="1" count="0"/>
        </references>
      </pivotArea>
    </format>
    <format dxfId="11">
      <pivotArea grandRow="1" outline="0" collapsedLevelsAreSubtotals="1" fieldPosition="0"/>
    </format>
  </formats>
  <chartFormats count="10">
    <chartFormat chart="42"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0"/>
          </reference>
        </references>
      </pivotArea>
    </chartFormat>
    <chartFormat chart="44" format="2">
      <pivotArea type="data" outline="0" fieldPosition="0">
        <references count="2">
          <reference field="4294967294" count="1" selected="0">
            <x v="0"/>
          </reference>
          <reference field="1" count="1" selected="0">
            <x v="0"/>
          </reference>
        </references>
      </pivotArea>
    </chartFormat>
    <chartFormat chart="44" format="3">
      <pivotArea type="data" outline="0" fieldPosition="0">
        <references count="2">
          <reference field="4294967294" count="1" selected="0">
            <x v="0"/>
          </reference>
          <reference field="1" count="1" selected="0">
            <x v="1"/>
          </reference>
        </references>
      </pivotArea>
    </chartFormat>
    <chartFormat chart="45" format="4" series="1">
      <pivotArea type="data" outline="0" fieldPosition="0">
        <references count="1">
          <reference field="4294967294" count="1" selected="0">
            <x v="0"/>
          </reference>
        </references>
      </pivotArea>
    </chartFormat>
    <chartFormat chart="45" format="5">
      <pivotArea type="data" outline="0" fieldPosition="0">
        <references count="2">
          <reference field="4294967294" count="1" selected="0">
            <x v="0"/>
          </reference>
          <reference field="1" count="1" selected="0">
            <x v="0"/>
          </reference>
        </references>
      </pivotArea>
    </chartFormat>
    <chartFormat chart="45" format="6">
      <pivotArea type="data" outline="0" fieldPosition="0">
        <references count="2">
          <reference field="4294967294" count="1" selected="0">
            <x v="0"/>
          </reference>
          <reference field="1" count="1" selected="0">
            <x v="1"/>
          </reference>
        </references>
      </pivotArea>
    </chartFormat>
    <chartFormat chart="46" format="4" series="1">
      <pivotArea type="data" outline="0" fieldPosition="0">
        <references count="1">
          <reference field="4294967294" count="1" selected="0">
            <x v="0"/>
          </reference>
        </references>
      </pivotArea>
    </chartFormat>
    <chartFormat chart="46" format="5">
      <pivotArea type="data" outline="0" fieldPosition="0">
        <references count="2">
          <reference field="4294967294" count="1" selected="0">
            <x v="0"/>
          </reference>
          <reference field="1" count="1" selected="0">
            <x v="0"/>
          </reference>
        </references>
      </pivotArea>
    </chartFormat>
    <chartFormat chart="46" format="6">
      <pivotArea type="data" outline="0" fieldPosition="0">
        <references count="2">
          <reference field="4294967294" count="1" selected="0">
            <x v="0"/>
          </reference>
          <reference field="1" count="1" selected="0">
            <x v="1"/>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8F7A710-11E9-4D6F-8F57-587BEE9F7DB6}" name="PivotTable5" cacheId="10" applyNumberFormats="0" applyBorderFormats="0" applyFontFormats="0" applyPatternFormats="0" applyAlignmentFormats="0" applyWidthHeightFormats="1" dataCaption="Values" tag="ec89620d-15d9-4104-acae-566f3e7cc917" updatedVersion="8" minRefreshableVersion="3" subtotalHiddenItems="1" itemPrintTitles="1" createdVersion="5" indent="0" outline="1" outlineData="1" multipleFieldFilters="0">
  <location ref="A25:A2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8">
    <pivotHierarchy dragToData="1"/>
    <pivotHierarchy dragToData="1"/>
    <pivotHierarchy dragToData="1"/>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7DD5B69-69AE-44F6-9158-686A39ECB224}" name="PivotTable13" cacheId="5" applyNumberFormats="0" applyBorderFormats="0" applyFontFormats="0" applyPatternFormats="0" applyAlignmentFormats="0" applyWidthHeightFormats="1" dataCaption="Values" tag="7e576d77-9bd1-44b1-9db0-b06076bc8710" updatedVersion="8" minRefreshableVersion="3" subtotalHiddenItems="1" itemPrintTitles="1" createdVersion="5" indent="0" outline="1" outlineData="1" multipleFieldFilters="0" chartFormat="59">
  <location ref="D65:E68"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1" subtotal="count" baseField="0" baseItem="0"/>
  </dataFields>
  <formats count="3">
    <format dxfId="16">
      <pivotArea outline="0" collapsedLevelsAreSubtotals="1" fieldPosition="0"/>
    </format>
    <format dxfId="15">
      <pivotArea grandRow="1" outline="0" collapsedLevelsAreSubtotals="1" fieldPosition="0"/>
    </format>
    <format dxfId="14">
      <pivotArea collapsedLevelsAreSubtotals="1" fieldPosition="0">
        <references count="1">
          <reference field="2" count="0"/>
        </references>
      </pivotArea>
    </format>
  </formats>
  <chartFormats count="3">
    <chartFormat chart="56" format="4" series="1">
      <pivotArea type="data" outline="0" fieldPosition="0">
        <references count="1">
          <reference field="4294967294" count="1" selected="0">
            <x v="0"/>
          </reference>
        </references>
      </pivotArea>
    </chartFormat>
    <chartFormat chart="56" format="5">
      <pivotArea type="data" outline="0" fieldPosition="0">
        <references count="2">
          <reference field="4294967294" count="1" selected="0">
            <x v="0"/>
          </reference>
          <reference field="2" count="1" selected="0">
            <x v="0"/>
          </reference>
        </references>
      </pivotArea>
    </chartFormat>
    <chartFormat chart="56" format="6">
      <pivotArea type="data" outline="0" fieldPosition="0">
        <references count="2">
          <reference field="4294967294" count="1" selected="0">
            <x v="0"/>
          </reference>
          <reference field="2" count="1" selected="0">
            <x v="1"/>
          </reference>
        </references>
      </pivotArea>
    </chartFormat>
  </chartFormat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Data="1" caption="Count of Patient Waittime"/>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548D7AF-C993-417D-92AA-AEA20181A2E0}" name="PivotTable1" cacheId="1" applyNumberFormats="0" applyBorderFormats="0" applyFontFormats="0" applyPatternFormats="0" applyAlignmentFormats="0" applyWidthHeightFormats="1" dataCaption="Values" tag="66b062db-e603-4542-a918-eae70729f8d0" updatedVersion="8" minRefreshableVersion="3" subtotalHiddenItems="1" itemPrintTitles="1" createdVersion="5" indent="0" outline="1" outlineData="1" multipleFieldFilters="0">
  <location ref="A5:A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8">
    <pivotHierarchy dragToData="1"/>
    <pivotHierarchy dragToData="1"/>
    <pivotHierarchy multipleItemSelectionAllowed="1" dragToData="1">
      <members count="1" level="1">
        <member name="[calculate_query].[dates (Month)].&amp;[Aug]"/>
      </members>
    </pivotHierarchy>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culate_que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1C74856-FCC3-4649-9011-9D23ED2E4113}" name="PivotTable4" cacheId="9" applyNumberFormats="0" applyBorderFormats="0" applyFontFormats="0" applyPatternFormats="0" applyAlignmentFormats="0" applyWidthHeightFormats="1" dataCaption="Values" tag="8ff76271-1f9d-432e-85ca-bb2ee5b85d3b" updatedVersion="8" minRefreshableVersion="3" subtotalHiddenItems="1" itemPrintTitles="1" createdVersion="5" indent="0" outline="1" outlineData="1" multipleFieldFilters="0">
  <location ref="A20:A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0" subtotal="count" baseField="0" baseItem="0"/>
  </dataFields>
  <pivotHierarchies count="38">
    <pivotHierarchy dragToData="1"/>
    <pivotHierarchy dragToData="1"/>
    <pivotHierarchy dragToData="1"/>
    <pivotHierarchy dragToData="1"/>
    <pivotHierarchy multipleItemSelectionAllowed="1" dragToData="1">
      <members count="1" level="1">
        <member name="[calculate_query].[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F6EF3B89-1B82-4935-BA20-6D6AD30D041F}" sourceName="[calculate_query].[dates (Month)]">
  <pivotTables>
    <pivotTable tabId="1" name="PivotTable11"/>
    <pivotTable tabId="1" name="PivotTable1"/>
    <pivotTable tabId="1" name="PivotTable2"/>
    <pivotTable tabId="1" name="PivotTable3"/>
    <pivotTable tabId="1" name="PivotTable7"/>
    <pivotTable tabId="1" name="PivotTable8"/>
    <pivotTable tabId="1" name="PivotTable9"/>
    <pivotTable tabId="1" name="PivotTable6"/>
    <pivotTable tabId="1" name="PivotTable10"/>
    <pivotTable tabId="1" name="PivotTable12"/>
    <pivotTable tabId="1" name="PivotTable13"/>
    <pivotTable tabId="1" name="PivotTable14"/>
    <pivotTable tabId="1" name="PivotTable15"/>
  </pivotTables>
  <data>
    <olap pivotCacheId="977486701">
      <levels count="2">
        <level uniqueName="[calculate_query].[dates (Month)].[(All)]" sourceCaption="(All)" count="0"/>
        <level uniqueName="[calculate_query].[dates (Month)].[dates (Month)]" sourceCaption="dates (Month)" count="12">
          <ranges>
            <range startItem="0">
              <i n="[calculate_query].[dates (Month)].&amp;[Jan]" c="Jan"/>
              <i n="[calculate_query].[dates (Month)].&amp;[Feb]" c="Feb"/>
              <i n="[calculate_query].[dates (Month)].&amp;[Mar]" c="Mar"/>
              <i n="[calculate_query].[dates (Month)].&amp;[Apr]" c="Apr"/>
              <i n="[calculate_query].[dates (Month)].&amp;[May]" c="May"/>
              <i n="[calculate_query].[dates (Month)].&amp;[Jun]" c="Jun"/>
              <i n="[calculate_query].[dates (Month)].&amp;[Jul]" c="Jul"/>
              <i n="[calculate_query].[dates (Month)].&amp;[Aug]" c="Aug"/>
              <i n="[calculate_query].[dates (Month)].&amp;[Sep]" c="Sep"/>
              <i n="[calculate_query].[dates (Month)].&amp;[Oct]" c="Oct"/>
              <i n="[calculate_query].[dates (Month)].&amp;[Nov]" c="Nov"/>
              <i n="[calculate_query].[dates (Month)].&amp;[Dec]" c="Dec"/>
            </range>
          </ranges>
        </level>
      </levels>
      <selections count="1">
        <selection n="[calculate_query].[dates (Month)].&amp;[Aug]"/>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FD48273C-75EB-44BC-828F-67B7CB8C2F02}" sourceName="[calculate_query].[dates (Year)]">
  <pivotTables>
    <pivotTable tabId="1" name="PivotTable15"/>
    <pivotTable tabId="1" name="PivotTable1"/>
    <pivotTable tabId="1" name="PivotTable10"/>
    <pivotTable tabId="1" name="PivotTable11"/>
    <pivotTable tabId="1" name="PivotTable12"/>
    <pivotTable tabId="1" name="PivotTable13"/>
    <pivotTable tabId="1" name="PivotTable14"/>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977486701">
      <levels count="2">
        <level uniqueName="[calculate_query].[dates (Year)].[(All)]" sourceCaption="(All)" count="0"/>
        <level uniqueName="[calculate_query].[dates (Year)].[dates (Year)]" sourceCaption="dates (Year)" count="2">
          <ranges>
            <range startItem="0">
              <i n="[calculate_query].[dates (Year)].&amp;[2023]" c="2023"/>
              <i n="[calculate_query].[dates (Year)].&amp;[2024]" c="2024"/>
            </range>
          </ranges>
        </level>
      </levels>
      <selections count="1">
        <selection n="[calculate_query].[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xr10:uid="{69EA2B77-747E-4CBF-AD8B-1DD7C2B03E90}" cache="Slicer_dates__Month" caption="dates (Month)" columnCount="12" showCaption="0" level="1" style="mystyle" rowHeight="324000"/>
  <slicer name="dates (Year)" xr10:uid="{93D5465F-44CA-42D9-95EC-060B023367CA}" cache="Slicer_dates__Year" caption="dates (Year)" columnCount="2" showCaption="0" level="1" style="mystyle" rowHeight="468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8D46F-3ADF-4158-8B2B-5D15966852F2}">
  <dimension ref="A2:P79"/>
  <sheetViews>
    <sheetView zoomScale="78" zoomScaleNormal="134" workbookViewId="0">
      <selection activeCell="A58" sqref="A58"/>
    </sheetView>
  </sheetViews>
  <sheetFormatPr defaultRowHeight="14.4" x14ac:dyDescent="0.3"/>
  <cols>
    <col min="1" max="1" width="16.5546875" customWidth="1"/>
    <col min="2" max="2" width="13.6640625" customWidth="1"/>
    <col min="3" max="3" width="11" customWidth="1"/>
    <col min="4" max="4" width="26.33203125" customWidth="1"/>
    <col min="5" max="6" width="23.5546875" customWidth="1"/>
    <col min="7" max="7" width="19.44140625" customWidth="1"/>
    <col min="8" max="8" width="26.33203125" customWidth="1"/>
    <col min="9" max="9" width="23.88671875" customWidth="1"/>
    <col min="11" max="11" width="20.109375" customWidth="1"/>
    <col min="12" max="12" width="25.44140625" customWidth="1"/>
    <col min="14" max="14" width="8.88671875" customWidth="1"/>
    <col min="15" max="15" width="20" customWidth="1"/>
    <col min="16" max="16" width="30.109375" customWidth="1"/>
  </cols>
  <sheetData>
    <row r="2" spans="1:16" x14ac:dyDescent="0.3">
      <c r="K2" t="s">
        <v>7</v>
      </c>
    </row>
    <row r="4" spans="1:16" x14ac:dyDescent="0.3">
      <c r="H4" t="s">
        <v>6</v>
      </c>
    </row>
    <row r="5" spans="1:16" x14ac:dyDescent="0.3">
      <c r="A5" t="s">
        <v>5</v>
      </c>
      <c r="C5" s="3" t="s">
        <v>3</v>
      </c>
      <c r="D5" t="s">
        <v>5</v>
      </c>
      <c r="H5" s="3" t="s">
        <v>3</v>
      </c>
      <c r="I5" t="s">
        <v>5</v>
      </c>
      <c r="K5" s="3" t="s">
        <v>3</v>
      </c>
      <c r="L5" t="s">
        <v>1</v>
      </c>
      <c r="O5" s="3" t="s">
        <v>3</v>
      </c>
      <c r="P5" t="s">
        <v>8</v>
      </c>
    </row>
    <row r="6" spans="1:16" x14ac:dyDescent="0.3">
      <c r="A6">
        <v>530</v>
      </c>
      <c r="C6" s="4" t="s">
        <v>39</v>
      </c>
      <c r="D6">
        <v>28</v>
      </c>
      <c r="H6" s="4" t="s">
        <v>39</v>
      </c>
      <c r="I6">
        <v>28</v>
      </c>
      <c r="K6" s="4" t="s">
        <v>39</v>
      </c>
      <c r="L6" s="1">
        <v>35.285714285714285</v>
      </c>
      <c r="O6" s="4" t="s">
        <v>39</v>
      </c>
      <c r="P6">
        <v>36</v>
      </c>
    </row>
    <row r="7" spans="1:16" x14ac:dyDescent="0.3">
      <c r="C7" s="4" t="s">
        <v>40</v>
      </c>
      <c r="D7">
        <v>19</v>
      </c>
      <c r="H7" s="4" t="s">
        <v>40</v>
      </c>
      <c r="I7">
        <v>19</v>
      </c>
      <c r="K7" s="4" t="s">
        <v>40</v>
      </c>
      <c r="L7" s="1">
        <v>31.842105263157894</v>
      </c>
      <c r="O7" s="4" t="s">
        <v>40</v>
      </c>
      <c r="P7">
        <v>28</v>
      </c>
    </row>
    <row r="8" spans="1:16" x14ac:dyDescent="0.3">
      <c r="C8" s="4" t="s">
        <v>41</v>
      </c>
      <c r="D8">
        <v>14</v>
      </c>
      <c r="H8" s="4" t="s">
        <v>41</v>
      </c>
      <c r="I8">
        <v>14</v>
      </c>
      <c r="K8" s="4" t="s">
        <v>41</v>
      </c>
      <c r="L8" s="1">
        <v>34.714285714285715</v>
      </c>
      <c r="O8" s="4" t="s">
        <v>41</v>
      </c>
      <c r="P8">
        <v>37</v>
      </c>
    </row>
    <row r="9" spans="1:16" x14ac:dyDescent="0.3">
      <c r="C9" s="4" t="s">
        <v>42</v>
      </c>
      <c r="D9">
        <v>17</v>
      </c>
      <c r="H9" s="4" t="s">
        <v>42</v>
      </c>
      <c r="I9">
        <v>17</v>
      </c>
      <c r="K9" s="4" t="s">
        <v>42</v>
      </c>
      <c r="L9" s="1">
        <v>42.823529411764703</v>
      </c>
      <c r="O9" s="4" t="s">
        <v>42</v>
      </c>
      <c r="P9">
        <v>9</v>
      </c>
    </row>
    <row r="10" spans="1:16" x14ac:dyDescent="0.3">
      <c r="A10" t="s">
        <v>1</v>
      </c>
      <c r="C10" s="4" t="s">
        <v>43</v>
      </c>
      <c r="D10">
        <v>19</v>
      </c>
      <c r="H10" s="4" t="s">
        <v>43</v>
      </c>
      <c r="I10">
        <v>19</v>
      </c>
      <c r="K10" s="4" t="s">
        <v>43</v>
      </c>
      <c r="L10" s="1">
        <v>32.157894736842103</v>
      </c>
      <c r="O10" s="4" t="s">
        <v>43</v>
      </c>
      <c r="P10">
        <v>24</v>
      </c>
    </row>
    <row r="11" spans="1:16" x14ac:dyDescent="0.3">
      <c r="A11" s="1">
        <v>35.113207547169814</v>
      </c>
      <c r="C11" s="4" t="s">
        <v>44</v>
      </c>
      <c r="D11">
        <v>12</v>
      </c>
      <c r="H11" s="4" t="s">
        <v>44</v>
      </c>
      <c r="I11">
        <v>12</v>
      </c>
      <c r="K11" s="4" t="s">
        <v>44</v>
      </c>
      <c r="L11" s="1">
        <v>34.833333333333336</v>
      </c>
      <c r="O11" s="4" t="s">
        <v>44</v>
      </c>
      <c r="P11">
        <v>19</v>
      </c>
    </row>
    <row r="12" spans="1:16" x14ac:dyDescent="0.3">
      <c r="C12" s="4" t="s">
        <v>45</v>
      </c>
      <c r="D12">
        <v>10</v>
      </c>
      <c r="H12" s="4" t="s">
        <v>45</v>
      </c>
      <c r="I12">
        <v>10</v>
      </c>
      <c r="K12" s="4" t="s">
        <v>45</v>
      </c>
      <c r="L12" s="1">
        <v>33.4</v>
      </c>
      <c r="O12" s="4" t="s">
        <v>46</v>
      </c>
      <c r="P12">
        <v>9</v>
      </c>
    </row>
    <row r="13" spans="1:16" x14ac:dyDescent="0.3">
      <c r="C13" s="4" t="s">
        <v>46</v>
      </c>
      <c r="D13">
        <v>20</v>
      </c>
      <c r="H13" s="4" t="s">
        <v>46</v>
      </c>
      <c r="I13">
        <v>20</v>
      </c>
      <c r="K13" s="4" t="s">
        <v>46</v>
      </c>
      <c r="L13" s="1">
        <v>28.15</v>
      </c>
      <c r="O13" s="4" t="s">
        <v>47</v>
      </c>
      <c r="P13">
        <v>12</v>
      </c>
    </row>
    <row r="14" spans="1:16" x14ac:dyDescent="0.3">
      <c r="C14" s="4" t="s">
        <v>47</v>
      </c>
      <c r="D14">
        <v>12</v>
      </c>
      <c r="H14" s="4" t="s">
        <v>47</v>
      </c>
      <c r="I14">
        <v>12</v>
      </c>
      <c r="K14" s="4" t="s">
        <v>47</v>
      </c>
      <c r="L14" s="1">
        <v>31.333333333333332</v>
      </c>
      <c r="O14" s="4" t="s">
        <v>48</v>
      </c>
      <c r="P14">
        <v>20</v>
      </c>
    </row>
    <row r="15" spans="1:16" x14ac:dyDescent="0.3">
      <c r="A15" t="s">
        <v>2</v>
      </c>
      <c r="C15" s="4" t="s">
        <v>48</v>
      </c>
      <c r="D15">
        <v>24</v>
      </c>
      <c r="H15" s="4" t="s">
        <v>48</v>
      </c>
      <c r="I15">
        <v>24</v>
      </c>
      <c r="K15" s="4" t="s">
        <v>48</v>
      </c>
      <c r="L15" s="1">
        <v>37.375</v>
      </c>
      <c r="O15" s="4" t="s">
        <v>49</v>
      </c>
      <c r="P15">
        <v>8</v>
      </c>
    </row>
    <row r="16" spans="1:16" x14ac:dyDescent="0.3">
      <c r="A16" s="1">
        <v>5.1769911504424782</v>
      </c>
      <c r="C16" s="4" t="s">
        <v>49</v>
      </c>
      <c r="D16">
        <v>16</v>
      </c>
      <c r="H16" s="4" t="s">
        <v>49</v>
      </c>
      <c r="I16">
        <v>16</v>
      </c>
      <c r="K16" s="4" t="s">
        <v>49</v>
      </c>
      <c r="L16" s="1">
        <v>36.0625</v>
      </c>
      <c r="O16" s="4" t="s">
        <v>50</v>
      </c>
      <c r="P16">
        <v>11</v>
      </c>
    </row>
    <row r="17" spans="1:16" x14ac:dyDescent="0.3">
      <c r="C17" s="4" t="s">
        <v>50</v>
      </c>
      <c r="D17">
        <v>16</v>
      </c>
      <c r="H17" s="4" t="s">
        <v>50</v>
      </c>
      <c r="I17">
        <v>16</v>
      </c>
      <c r="K17" s="4" t="s">
        <v>50</v>
      </c>
      <c r="L17" s="1">
        <v>40.5</v>
      </c>
      <c r="O17" s="4" t="s">
        <v>51</v>
      </c>
      <c r="P17">
        <v>12</v>
      </c>
    </row>
    <row r="18" spans="1:16" x14ac:dyDescent="0.3">
      <c r="C18" s="4" t="s">
        <v>51</v>
      </c>
      <c r="D18">
        <v>14</v>
      </c>
      <c r="H18" s="4" t="s">
        <v>51</v>
      </c>
      <c r="I18">
        <v>14</v>
      </c>
      <c r="K18" s="4" t="s">
        <v>51</v>
      </c>
      <c r="L18" s="1">
        <v>39.571428571428569</v>
      </c>
      <c r="O18" s="4" t="s">
        <v>52</v>
      </c>
      <c r="P18">
        <v>15</v>
      </c>
    </row>
    <row r="19" spans="1:16" x14ac:dyDescent="0.3">
      <c r="C19" s="4" t="s">
        <v>52</v>
      </c>
      <c r="D19">
        <v>12</v>
      </c>
      <c r="H19" s="4" t="s">
        <v>52</v>
      </c>
      <c r="I19">
        <v>12</v>
      </c>
      <c r="K19" s="4" t="s">
        <v>52</v>
      </c>
      <c r="L19" s="1">
        <v>30.25</v>
      </c>
      <c r="O19" s="4" t="s">
        <v>53</v>
      </c>
      <c r="P19">
        <v>22</v>
      </c>
    </row>
    <row r="20" spans="1:16" x14ac:dyDescent="0.3">
      <c r="A20" t="s">
        <v>0</v>
      </c>
      <c r="C20" s="4" t="s">
        <v>53</v>
      </c>
      <c r="D20">
        <v>18</v>
      </c>
      <c r="H20" s="4" t="s">
        <v>53</v>
      </c>
      <c r="I20">
        <v>18</v>
      </c>
      <c r="K20" s="4" t="s">
        <v>53</v>
      </c>
      <c r="L20" s="1">
        <v>39.722222222222221</v>
      </c>
      <c r="O20" s="4" t="s">
        <v>54</v>
      </c>
      <c r="P20">
        <v>15</v>
      </c>
    </row>
    <row r="21" spans="1:16" x14ac:dyDescent="0.3">
      <c r="A21">
        <v>4878</v>
      </c>
      <c r="C21" s="4" t="s">
        <v>54</v>
      </c>
      <c r="D21">
        <v>15</v>
      </c>
      <c r="H21" s="4" t="s">
        <v>54</v>
      </c>
      <c r="I21">
        <v>15</v>
      </c>
      <c r="K21" s="4" t="s">
        <v>54</v>
      </c>
      <c r="L21" s="1">
        <v>38.133333333333333</v>
      </c>
      <c r="O21" s="4" t="s">
        <v>55</v>
      </c>
      <c r="P21">
        <v>20</v>
      </c>
    </row>
    <row r="22" spans="1:16" x14ac:dyDescent="0.3">
      <c r="C22" s="4" t="s">
        <v>55</v>
      </c>
      <c r="D22">
        <v>25</v>
      </c>
      <c r="H22" s="4" t="s">
        <v>55</v>
      </c>
      <c r="I22">
        <v>25</v>
      </c>
      <c r="K22" s="4" t="s">
        <v>55</v>
      </c>
      <c r="L22" s="1">
        <v>34.08</v>
      </c>
      <c r="O22" s="4" t="s">
        <v>56</v>
      </c>
      <c r="P22">
        <v>7</v>
      </c>
    </row>
    <row r="23" spans="1:16" x14ac:dyDescent="0.3">
      <c r="C23" s="4" t="s">
        <v>56</v>
      </c>
      <c r="D23">
        <v>15</v>
      </c>
      <c r="H23" s="4" t="s">
        <v>56</v>
      </c>
      <c r="I23">
        <v>15</v>
      </c>
      <c r="K23" s="4" t="s">
        <v>56</v>
      </c>
      <c r="L23" s="1">
        <v>30.066666666666666</v>
      </c>
      <c r="O23" s="4" t="s">
        <v>57</v>
      </c>
      <c r="P23">
        <v>13</v>
      </c>
    </row>
    <row r="24" spans="1:16" x14ac:dyDescent="0.3">
      <c r="C24" s="4" t="s">
        <v>57</v>
      </c>
      <c r="D24">
        <v>19</v>
      </c>
      <c r="H24" s="4" t="s">
        <v>57</v>
      </c>
      <c r="I24">
        <v>19</v>
      </c>
      <c r="K24" s="4" t="s">
        <v>57</v>
      </c>
      <c r="L24" s="1">
        <v>33.263157894736842</v>
      </c>
      <c r="O24" s="4" t="s">
        <v>58</v>
      </c>
      <c r="P24">
        <v>35</v>
      </c>
    </row>
    <row r="25" spans="1:16" x14ac:dyDescent="0.3">
      <c r="A25" t="s">
        <v>0</v>
      </c>
      <c r="C25" s="4" t="s">
        <v>58</v>
      </c>
      <c r="D25">
        <v>23</v>
      </c>
      <c r="H25" s="4" t="s">
        <v>58</v>
      </c>
      <c r="I25">
        <v>23</v>
      </c>
      <c r="K25" s="4" t="s">
        <v>58</v>
      </c>
      <c r="L25" s="1">
        <v>38.565217391304351</v>
      </c>
      <c r="O25" s="4" t="s">
        <v>59</v>
      </c>
      <c r="P25">
        <v>9</v>
      </c>
    </row>
    <row r="26" spans="1:16" x14ac:dyDescent="0.3">
      <c r="A26">
        <v>4878</v>
      </c>
      <c r="C26" s="4" t="s">
        <v>59</v>
      </c>
      <c r="D26">
        <v>10</v>
      </c>
      <c r="H26" s="4" t="s">
        <v>59</v>
      </c>
      <c r="I26">
        <v>10</v>
      </c>
      <c r="K26" s="4" t="s">
        <v>59</v>
      </c>
      <c r="L26" s="1">
        <v>28.6</v>
      </c>
      <c r="O26" s="4" t="s">
        <v>60</v>
      </c>
      <c r="P26">
        <v>15</v>
      </c>
    </row>
    <row r="27" spans="1:16" x14ac:dyDescent="0.3">
      <c r="C27" s="4" t="s">
        <v>60</v>
      </c>
      <c r="D27">
        <v>14</v>
      </c>
      <c r="H27" s="4" t="s">
        <v>60</v>
      </c>
      <c r="I27">
        <v>14</v>
      </c>
      <c r="K27" s="4" t="s">
        <v>60</v>
      </c>
      <c r="L27" s="1">
        <v>36.285714285714285</v>
      </c>
      <c r="O27" s="4" t="s">
        <v>61</v>
      </c>
      <c r="P27">
        <v>20</v>
      </c>
    </row>
    <row r="28" spans="1:16" x14ac:dyDescent="0.3">
      <c r="C28" s="4" t="s">
        <v>61</v>
      </c>
      <c r="D28">
        <v>16</v>
      </c>
      <c r="H28" s="4" t="s">
        <v>61</v>
      </c>
      <c r="I28">
        <v>16</v>
      </c>
      <c r="K28" s="4" t="s">
        <v>61</v>
      </c>
      <c r="L28" s="1">
        <v>40.375</v>
      </c>
      <c r="O28" s="4" t="s">
        <v>62</v>
      </c>
      <c r="P28">
        <v>4</v>
      </c>
    </row>
    <row r="29" spans="1:16" x14ac:dyDescent="0.3">
      <c r="C29" s="4" t="s">
        <v>62</v>
      </c>
      <c r="D29">
        <v>18</v>
      </c>
      <c r="H29" s="4" t="s">
        <v>62</v>
      </c>
      <c r="I29">
        <v>18</v>
      </c>
      <c r="K29" s="4" t="s">
        <v>62</v>
      </c>
      <c r="L29" s="1">
        <v>34.666666666666664</v>
      </c>
      <c r="O29" s="4" t="s">
        <v>63</v>
      </c>
      <c r="P29">
        <v>25</v>
      </c>
    </row>
    <row r="30" spans="1:16" x14ac:dyDescent="0.3">
      <c r="C30" s="4" t="s">
        <v>63</v>
      </c>
      <c r="D30">
        <v>22</v>
      </c>
      <c r="H30" s="4" t="s">
        <v>63</v>
      </c>
      <c r="I30">
        <v>22</v>
      </c>
      <c r="K30" s="4" t="s">
        <v>63</v>
      </c>
      <c r="L30" s="1">
        <v>34.863636363636367</v>
      </c>
      <c r="O30" s="4" t="s">
        <v>64</v>
      </c>
      <c r="P30">
        <v>13</v>
      </c>
    </row>
    <row r="31" spans="1:16" x14ac:dyDescent="0.3">
      <c r="C31" s="4" t="s">
        <v>64</v>
      </c>
      <c r="D31">
        <v>14</v>
      </c>
      <c r="H31" s="4" t="s">
        <v>64</v>
      </c>
      <c r="I31">
        <v>14</v>
      </c>
      <c r="K31" s="4" t="s">
        <v>64</v>
      </c>
      <c r="L31" s="1">
        <v>30.928571428571427</v>
      </c>
      <c r="O31" s="4" t="s">
        <v>65</v>
      </c>
      <c r="P31">
        <v>24</v>
      </c>
    </row>
    <row r="32" spans="1:16" x14ac:dyDescent="0.3">
      <c r="C32" s="4" t="s">
        <v>65</v>
      </c>
      <c r="D32">
        <v>15</v>
      </c>
      <c r="H32" s="4" t="s">
        <v>65</v>
      </c>
      <c r="I32">
        <v>15</v>
      </c>
      <c r="K32" s="4" t="s">
        <v>65</v>
      </c>
      <c r="L32" s="1">
        <v>35.6</v>
      </c>
      <c r="O32" s="4" t="s">
        <v>66</v>
      </c>
      <c r="P32">
        <v>48</v>
      </c>
    </row>
    <row r="33" spans="1:16" x14ac:dyDescent="0.3">
      <c r="C33" s="4" t="s">
        <v>66</v>
      </c>
      <c r="D33">
        <v>21</v>
      </c>
      <c r="H33" s="4" t="s">
        <v>66</v>
      </c>
      <c r="I33">
        <v>21</v>
      </c>
      <c r="K33" s="4" t="s">
        <v>66</v>
      </c>
      <c r="L33" s="1">
        <v>34.952380952380949</v>
      </c>
      <c r="O33" s="4" t="s">
        <v>67</v>
      </c>
      <c r="P33">
        <v>10</v>
      </c>
    </row>
    <row r="34" spans="1:16" x14ac:dyDescent="0.3">
      <c r="C34" s="4" t="s">
        <v>67</v>
      </c>
      <c r="D34">
        <v>17</v>
      </c>
      <c r="H34" s="4" t="s">
        <v>67</v>
      </c>
      <c r="I34">
        <v>17</v>
      </c>
      <c r="K34" s="4" t="s">
        <v>67</v>
      </c>
      <c r="L34" s="1">
        <v>34.411764705882355</v>
      </c>
      <c r="O34" s="4" t="s">
        <v>68</v>
      </c>
      <c r="P34">
        <v>20</v>
      </c>
    </row>
    <row r="35" spans="1:16" x14ac:dyDescent="0.3">
      <c r="C35" s="4" t="s">
        <v>68</v>
      </c>
      <c r="D35">
        <v>16</v>
      </c>
      <c r="H35" s="4" t="s">
        <v>68</v>
      </c>
      <c r="I35">
        <v>16</v>
      </c>
      <c r="K35" s="4" t="s">
        <v>68</v>
      </c>
      <c r="L35" s="1">
        <v>34</v>
      </c>
      <c r="O35" s="4" t="s">
        <v>69</v>
      </c>
      <c r="P35">
        <v>45</v>
      </c>
    </row>
    <row r="36" spans="1:16" x14ac:dyDescent="0.3">
      <c r="C36" s="4" t="s">
        <v>69</v>
      </c>
      <c r="D36">
        <v>19</v>
      </c>
      <c r="H36" s="4" t="s">
        <v>69</v>
      </c>
      <c r="I36">
        <v>19</v>
      </c>
      <c r="K36" s="4" t="s">
        <v>69</v>
      </c>
      <c r="L36" s="1">
        <v>36.421052631578945</v>
      </c>
      <c r="O36" s="4" t="s">
        <v>4</v>
      </c>
      <c r="P36">
        <v>585</v>
      </c>
    </row>
    <row r="37" spans="1:16" x14ac:dyDescent="0.3">
      <c r="C37" s="4" t="s">
        <v>4</v>
      </c>
      <c r="D37">
        <v>530</v>
      </c>
      <c r="H37" s="4" t="s">
        <v>4</v>
      </c>
      <c r="I37">
        <v>530</v>
      </c>
      <c r="K37" s="4" t="s">
        <v>4</v>
      </c>
      <c r="L37" s="1">
        <v>35.113207547169814</v>
      </c>
    </row>
    <row r="44" spans="1:16" x14ac:dyDescent="0.3">
      <c r="A44" s="3" t="s">
        <v>3</v>
      </c>
      <c r="B44" t="s">
        <v>9</v>
      </c>
      <c r="C44" t="s">
        <v>12</v>
      </c>
    </row>
    <row r="45" spans="1:16" x14ac:dyDescent="0.3">
      <c r="A45" s="4" t="s">
        <v>10</v>
      </c>
      <c r="B45" s="1">
        <v>242</v>
      </c>
      <c r="C45" s="5">
        <v>0.45660377358490567</v>
      </c>
    </row>
    <row r="46" spans="1:16" x14ac:dyDescent="0.3">
      <c r="A46" s="4" t="s">
        <v>11</v>
      </c>
      <c r="B46" s="1">
        <v>288</v>
      </c>
      <c r="C46" s="5">
        <v>0.54339622641509433</v>
      </c>
    </row>
    <row r="47" spans="1:16" x14ac:dyDescent="0.3">
      <c r="A47" s="4" t="s">
        <v>4</v>
      </c>
      <c r="B47" s="1">
        <v>530</v>
      </c>
      <c r="C47" s="5">
        <v>1</v>
      </c>
    </row>
    <row r="50" spans="1:5" ht="26.4" customHeight="1" x14ac:dyDescent="0.3">
      <c r="A50" s="9" t="s">
        <v>13</v>
      </c>
      <c r="B50" s="9" t="s">
        <v>14</v>
      </c>
      <c r="C50" s="9" t="s">
        <v>15</v>
      </c>
      <c r="D50" s="6"/>
    </row>
    <row r="51" spans="1:5" ht="25.2" customHeight="1" x14ac:dyDescent="0.3">
      <c r="A51" s="7" t="str">
        <f>A46</f>
        <v>Not Admitted</v>
      </c>
      <c r="B51" s="7">
        <f>B46</f>
        <v>288</v>
      </c>
      <c r="C51" s="8">
        <f>C46</f>
        <v>0.54339622641509433</v>
      </c>
      <c r="D51" s="7"/>
    </row>
    <row r="52" spans="1:5" ht="21.6" customHeight="1" x14ac:dyDescent="0.3">
      <c r="A52" s="7" t="str">
        <f>A45</f>
        <v>Admitted</v>
      </c>
      <c r="B52" s="7">
        <f>B45</f>
        <v>242</v>
      </c>
      <c r="C52" s="8">
        <f>C45</f>
        <v>0.45660377358490567</v>
      </c>
      <c r="D52" s="7"/>
    </row>
    <row r="58" spans="1:5" x14ac:dyDescent="0.3">
      <c r="A58" s="3" t="s">
        <v>3</v>
      </c>
      <c r="B58" t="s">
        <v>16</v>
      </c>
      <c r="D58" s="3" t="s">
        <v>3</v>
      </c>
      <c r="E58" t="s">
        <v>0</v>
      </c>
    </row>
    <row r="59" spans="1:5" x14ac:dyDescent="0.3">
      <c r="A59" s="4" t="s">
        <v>17</v>
      </c>
      <c r="B59" s="1">
        <v>63</v>
      </c>
      <c r="D59" s="4" t="s">
        <v>25</v>
      </c>
      <c r="E59" s="10">
        <v>323</v>
      </c>
    </row>
    <row r="60" spans="1:5" x14ac:dyDescent="0.3">
      <c r="A60" s="4" t="s">
        <v>18</v>
      </c>
      <c r="B60" s="1">
        <v>63</v>
      </c>
      <c r="D60" s="4" t="s">
        <v>26</v>
      </c>
      <c r="E60" s="10">
        <v>207</v>
      </c>
    </row>
    <row r="61" spans="1:5" x14ac:dyDescent="0.3">
      <c r="A61" s="4" t="s">
        <v>19</v>
      </c>
      <c r="B61" s="1">
        <v>65</v>
      </c>
      <c r="D61" s="4" t="s">
        <v>4</v>
      </c>
      <c r="E61" s="10">
        <v>530</v>
      </c>
    </row>
    <row r="62" spans="1:5" x14ac:dyDescent="0.3">
      <c r="A62" s="4" t="s">
        <v>20</v>
      </c>
      <c r="B62" s="1">
        <v>60</v>
      </c>
    </row>
    <row r="63" spans="1:5" x14ac:dyDescent="0.3">
      <c r="A63" s="4" t="s">
        <v>21</v>
      </c>
      <c r="B63" s="1">
        <v>65</v>
      </c>
    </row>
    <row r="64" spans="1:5" x14ac:dyDescent="0.3">
      <c r="A64" s="4" t="s">
        <v>22</v>
      </c>
      <c r="B64" s="1">
        <v>72</v>
      </c>
    </row>
    <row r="65" spans="1:7" x14ac:dyDescent="0.3">
      <c r="A65" s="4" t="s">
        <v>23</v>
      </c>
      <c r="B65" s="1">
        <v>73</v>
      </c>
      <c r="D65" s="3" t="s">
        <v>3</v>
      </c>
      <c r="E65" t="s">
        <v>27</v>
      </c>
    </row>
    <row r="66" spans="1:7" x14ac:dyDescent="0.3">
      <c r="A66" s="4" t="s">
        <v>24</v>
      </c>
      <c r="B66" s="1">
        <v>69</v>
      </c>
      <c r="D66" s="4" t="s">
        <v>28</v>
      </c>
      <c r="E66" s="10">
        <v>259</v>
      </c>
    </row>
    <row r="67" spans="1:7" x14ac:dyDescent="0.3">
      <c r="A67" s="4" t="s">
        <v>4</v>
      </c>
      <c r="B67" s="1">
        <v>530</v>
      </c>
      <c r="D67" s="4" t="s">
        <v>29</v>
      </c>
      <c r="E67" s="10">
        <v>271</v>
      </c>
    </row>
    <row r="68" spans="1:7" x14ac:dyDescent="0.3">
      <c r="D68" s="4" t="s">
        <v>4</v>
      </c>
      <c r="E68" s="10">
        <v>530</v>
      </c>
    </row>
    <row r="70" spans="1:7" x14ac:dyDescent="0.3">
      <c r="D70" s="3" t="s">
        <v>3</v>
      </c>
      <c r="E70" t="s">
        <v>0</v>
      </c>
    </row>
    <row r="71" spans="1:7" x14ac:dyDescent="0.3">
      <c r="D71" s="4" t="s">
        <v>30</v>
      </c>
      <c r="E71" s="10">
        <v>12</v>
      </c>
      <c r="G71" s="3" t="s">
        <v>3</v>
      </c>
    </row>
    <row r="72" spans="1:7" x14ac:dyDescent="0.3">
      <c r="D72" s="4" t="s">
        <v>31</v>
      </c>
      <c r="E72" s="10">
        <v>10</v>
      </c>
      <c r="G72" s="4" t="s">
        <v>71</v>
      </c>
    </row>
    <row r="73" spans="1:7" x14ac:dyDescent="0.3">
      <c r="D73" s="4" t="s">
        <v>32</v>
      </c>
      <c r="E73" s="10">
        <v>109</v>
      </c>
      <c r="G73" s="11" t="s">
        <v>38</v>
      </c>
    </row>
    <row r="74" spans="1:7" x14ac:dyDescent="0.3">
      <c r="D74" s="4" t="s">
        <v>33</v>
      </c>
      <c r="E74" s="10">
        <v>14</v>
      </c>
      <c r="G74" s="12" t="s">
        <v>70</v>
      </c>
    </row>
    <row r="75" spans="1:7" x14ac:dyDescent="0.3">
      <c r="D75" s="4" t="s">
        <v>34</v>
      </c>
      <c r="E75" s="10">
        <v>307</v>
      </c>
      <c r="G75" s="4" t="s">
        <v>4</v>
      </c>
    </row>
    <row r="76" spans="1:7" x14ac:dyDescent="0.3">
      <c r="D76" s="4" t="s">
        <v>35</v>
      </c>
      <c r="E76" s="10">
        <v>53</v>
      </c>
    </row>
    <row r="77" spans="1:7" x14ac:dyDescent="0.3">
      <c r="D77" s="4" t="s">
        <v>36</v>
      </c>
      <c r="E77" s="10">
        <v>18</v>
      </c>
    </row>
    <row r="78" spans="1:7" x14ac:dyDescent="0.3">
      <c r="D78" s="4" t="s">
        <v>37</v>
      </c>
      <c r="E78" s="10">
        <v>7</v>
      </c>
    </row>
    <row r="79" spans="1:7" x14ac:dyDescent="0.3">
      <c r="D79" s="4" t="s">
        <v>4</v>
      </c>
      <c r="E79" s="10">
        <v>530</v>
      </c>
    </row>
  </sheetData>
  <pageMargins left="0.7" right="0.7" top="0.75" bottom="0.75" header="0.3" footer="0.3"/>
  <drawing r:id="rId1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BBA79-DD5A-4194-8923-E23B1BA18E19}">
  <dimension ref="A1:V30"/>
  <sheetViews>
    <sheetView tabSelected="1" zoomScale="98" zoomScaleNormal="100" workbookViewId="0">
      <selection activeCell="V33" sqref="V33"/>
    </sheetView>
  </sheetViews>
  <sheetFormatPr defaultRowHeight="14.4" x14ac:dyDescent="0.3"/>
  <cols>
    <col min="2" max="3" width="8.88671875" customWidth="1"/>
    <col min="4" max="4" width="21.33203125" customWidth="1"/>
    <col min="5" max="5" width="8.88671875" customWidth="1"/>
    <col min="6" max="6" width="22.21875" customWidth="1"/>
    <col min="7" max="7" width="15.6640625" customWidth="1"/>
    <col min="8" max="8" width="8.88671875" hidden="1" customWidth="1"/>
    <col min="9" max="9" width="23.6640625" hidden="1" customWidth="1"/>
    <col min="10" max="10" width="8.88671875" hidden="1" customWidth="1"/>
    <col min="11" max="11" width="24.44140625" hidden="1" customWidth="1"/>
    <col min="12" max="13" width="8.88671875" hidden="1" customWidth="1"/>
    <col min="14" max="14" width="18.5546875" hidden="1" customWidth="1"/>
    <col min="15" max="17" width="8.88671875" hidden="1" customWidth="1"/>
    <col min="19" max="19" width="8.88671875" customWidth="1"/>
    <col min="21" max="21" width="8.88671875" customWidth="1"/>
    <col min="22" max="22" width="74.33203125" customWidth="1"/>
  </cols>
  <sheetData>
    <row r="1" spans="1:22" x14ac:dyDescent="0.3">
      <c r="A1" s="2"/>
      <c r="B1" s="2"/>
      <c r="C1" s="2"/>
      <c r="D1" s="2"/>
      <c r="E1" s="2"/>
      <c r="F1" s="2"/>
      <c r="G1" s="2"/>
      <c r="H1" s="2"/>
      <c r="I1" s="2"/>
      <c r="J1" s="2"/>
      <c r="K1" s="2"/>
      <c r="L1" s="2"/>
      <c r="M1" s="2"/>
      <c r="N1" s="2"/>
      <c r="O1" s="2"/>
      <c r="P1" s="2"/>
      <c r="Q1" s="2"/>
      <c r="R1" s="2"/>
      <c r="S1" s="2"/>
      <c r="T1" s="2"/>
      <c r="U1" s="2"/>
      <c r="V1" s="2"/>
    </row>
    <row r="2" spans="1:22" x14ac:dyDescent="0.3">
      <c r="A2" s="2"/>
      <c r="B2" s="2"/>
      <c r="C2" s="2"/>
      <c r="D2" s="2"/>
      <c r="E2" s="2"/>
      <c r="F2" s="2"/>
      <c r="G2" s="2"/>
      <c r="H2" s="2"/>
      <c r="I2" s="2"/>
      <c r="J2" s="2"/>
      <c r="K2" s="2"/>
      <c r="L2" s="2"/>
      <c r="M2" s="2"/>
      <c r="N2" s="2"/>
      <c r="O2" s="2"/>
      <c r="P2" s="2"/>
      <c r="Q2" s="2"/>
      <c r="R2" s="2"/>
      <c r="S2" s="2"/>
      <c r="T2" s="2"/>
      <c r="U2" s="2"/>
      <c r="V2" s="2"/>
    </row>
    <row r="3" spans="1:22" x14ac:dyDescent="0.3">
      <c r="A3" s="2"/>
      <c r="B3" s="2"/>
      <c r="C3" s="2"/>
      <c r="D3" s="2"/>
      <c r="E3" s="2"/>
      <c r="F3" s="2"/>
      <c r="G3" s="2"/>
      <c r="H3" s="2"/>
      <c r="I3" s="2"/>
      <c r="J3" s="2"/>
      <c r="K3" s="2"/>
      <c r="L3" s="2"/>
      <c r="M3" s="2"/>
      <c r="N3" s="2"/>
      <c r="O3" s="2"/>
      <c r="P3" s="2"/>
      <c r="Q3" s="2"/>
      <c r="R3" s="2"/>
      <c r="S3" s="2"/>
      <c r="T3" s="2"/>
      <c r="U3" s="2"/>
      <c r="V3" s="2"/>
    </row>
    <row r="4" spans="1:22" x14ac:dyDescent="0.3">
      <c r="A4" s="2"/>
      <c r="B4" s="2"/>
      <c r="C4" s="2"/>
      <c r="D4" s="2"/>
      <c r="E4" s="2"/>
      <c r="F4" s="2"/>
      <c r="G4" s="2"/>
      <c r="H4" s="2"/>
      <c r="I4" s="2"/>
      <c r="J4" s="2"/>
      <c r="K4" s="2"/>
      <c r="L4" s="2"/>
      <c r="M4" s="2"/>
      <c r="N4" s="2"/>
      <c r="O4" s="2"/>
      <c r="P4" s="2"/>
      <c r="Q4" s="2"/>
      <c r="R4" s="2"/>
      <c r="S4" s="2"/>
      <c r="T4" s="2"/>
      <c r="U4" s="2"/>
      <c r="V4" s="2"/>
    </row>
    <row r="5" spans="1:22" x14ac:dyDescent="0.3">
      <c r="A5" s="2"/>
      <c r="B5" s="2"/>
      <c r="C5" s="2"/>
      <c r="D5" s="2"/>
      <c r="E5" s="2"/>
      <c r="F5" s="2"/>
      <c r="G5" s="2"/>
      <c r="H5" s="2"/>
      <c r="I5" s="2"/>
      <c r="J5" s="2"/>
      <c r="K5" s="2"/>
      <c r="L5" s="2"/>
      <c r="M5" s="2"/>
      <c r="N5" s="2"/>
      <c r="O5" s="2"/>
      <c r="P5" s="2"/>
      <c r="Q5" s="2"/>
      <c r="R5" s="2"/>
      <c r="S5" s="2"/>
      <c r="T5" s="2"/>
      <c r="U5" s="2"/>
      <c r="V5" s="2"/>
    </row>
    <row r="6" spans="1:22" x14ac:dyDescent="0.3">
      <c r="A6" s="2"/>
      <c r="B6" s="2"/>
      <c r="C6" s="2"/>
      <c r="D6" s="2"/>
      <c r="E6" s="2"/>
      <c r="F6" s="2"/>
      <c r="G6" s="2"/>
      <c r="H6" s="2"/>
      <c r="I6" s="2"/>
      <c r="J6" s="2"/>
      <c r="K6" s="2"/>
      <c r="L6" s="2"/>
      <c r="M6" s="2"/>
      <c r="N6" s="2"/>
      <c r="O6" s="2"/>
      <c r="P6" s="2"/>
      <c r="Q6" s="2"/>
      <c r="R6" s="2"/>
      <c r="S6" s="2"/>
      <c r="T6" s="2"/>
      <c r="U6" s="2"/>
      <c r="V6" s="2"/>
    </row>
    <row r="7" spans="1:22" x14ac:dyDescent="0.3">
      <c r="A7" s="2"/>
      <c r="B7" s="2"/>
      <c r="C7" s="2"/>
      <c r="D7" s="2"/>
      <c r="E7" s="2"/>
      <c r="F7" s="2"/>
      <c r="G7" s="2"/>
      <c r="H7" s="2"/>
      <c r="I7" s="2"/>
      <c r="J7" s="2"/>
      <c r="K7" s="2"/>
      <c r="L7" s="2"/>
      <c r="M7" s="2"/>
      <c r="N7" s="2"/>
      <c r="O7" s="2"/>
      <c r="P7" s="2"/>
      <c r="Q7" s="2"/>
      <c r="R7" s="2"/>
      <c r="S7" s="2"/>
      <c r="T7" s="2"/>
      <c r="U7" s="2"/>
      <c r="V7" s="2"/>
    </row>
    <row r="8" spans="1:22" x14ac:dyDescent="0.3">
      <c r="A8" s="2"/>
      <c r="B8" s="2"/>
      <c r="C8" s="2"/>
      <c r="D8" s="2"/>
      <c r="E8" s="2"/>
      <c r="F8" s="2"/>
      <c r="G8" s="2"/>
      <c r="H8" s="2"/>
      <c r="I8" s="2"/>
      <c r="J8" s="2"/>
      <c r="K8" s="2"/>
      <c r="L8" s="2"/>
      <c r="M8" s="2"/>
      <c r="N8" s="2"/>
      <c r="O8" s="2"/>
      <c r="P8" s="2"/>
      <c r="Q8" s="2"/>
      <c r="R8" s="2"/>
      <c r="S8" s="2"/>
      <c r="T8" s="2"/>
      <c r="U8" s="2"/>
      <c r="V8" s="2"/>
    </row>
    <row r="9" spans="1:22" x14ac:dyDescent="0.3">
      <c r="A9" s="2"/>
      <c r="B9" s="2"/>
      <c r="C9" s="2"/>
      <c r="D9" s="2"/>
      <c r="E9" s="2"/>
      <c r="F9" s="2"/>
      <c r="G9" s="2"/>
      <c r="H9" s="2"/>
      <c r="I9" s="2"/>
      <c r="J9" s="2"/>
      <c r="K9" s="2"/>
      <c r="L9" s="2"/>
      <c r="M9" s="2"/>
      <c r="N9" s="2"/>
      <c r="O9" s="2"/>
      <c r="P9" s="2"/>
      <c r="Q9" s="2"/>
      <c r="R9" s="2"/>
      <c r="S9" s="2"/>
      <c r="T9" s="2"/>
      <c r="U9" s="2"/>
      <c r="V9" s="2"/>
    </row>
    <row r="10" spans="1:22" x14ac:dyDescent="0.3">
      <c r="A10" s="2"/>
      <c r="B10" s="2"/>
      <c r="C10" s="2"/>
      <c r="D10" s="2"/>
      <c r="E10" s="2"/>
      <c r="F10" s="2"/>
      <c r="G10" s="2"/>
      <c r="H10" s="2"/>
      <c r="I10" s="2"/>
      <c r="J10" s="2"/>
      <c r="K10" s="2"/>
      <c r="L10" s="2"/>
      <c r="M10" s="2"/>
      <c r="N10" s="2"/>
      <c r="O10" s="2"/>
      <c r="P10" s="2"/>
      <c r="Q10" s="2"/>
      <c r="R10" s="2"/>
      <c r="S10" s="2"/>
      <c r="T10" s="2"/>
      <c r="U10" s="2"/>
      <c r="V10" s="2"/>
    </row>
    <row r="11" spans="1:22" x14ac:dyDescent="0.3">
      <c r="A11" s="2"/>
      <c r="B11" s="2"/>
      <c r="C11" s="2"/>
      <c r="D11" s="2"/>
      <c r="E11" s="2"/>
      <c r="F11" s="2"/>
      <c r="G11" s="2"/>
      <c r="H11" s="2"/>
      <c r="I11" s="2"/>
      <c r="J11" s="2"/>
      <c r="K11" s="2"/>
      <c r="L11" s="2"/>
      <c r="M11" s="2"/>
      <c r="N11" s="2"/>
      <c r="O11" s="2"/>
      <c r="P11" s="2"/>
      <c r="Q11" s="2"/>
      <c r="R11" s="2"/>
      <c r="S11" s="2"/>
      <c r="T11" s="2"/>
      <c r="U11" s="2"/>
      <c r="V11" s="2"/>
    </row>
    <row r="12" spans="1:22" x14ac:dyDescent="0.3">
      <c r="A12" s="2"/>
      <c r="B12" s="2"/>
      <c r="C12" s="2"/>
      <c r="D12" s="2"/>
      <c r="E12" s="2"/>
      <c r="F12" s="2"/>
      <c r="G12" s="2"/>
      <c r="H12" s="2"/>
      <c r="I12" s="2"/>
      <c r="J12" s="2"/>
      <c r="K12" s="2"/>
      <c r="L12" s="2"/>
      <c r="M12" s="2"/>
      <c r="N12" s="2"/>
      <c r="O12" s="2"/>
      <c r="P12" s="2"/>
      <c r="Q12" s="2"/>
      <c r="R12" s="2"/>
      <c r="S12" s="2"/>
      <c r="T12" s="2"/>
      <c r="U12" s="2"/>
      <c r="V12" s="2"/>
    </row>
    <row r="13" spans="1:22" x14ac:dyDescent="0.3">
      <c r="A13" s="2"/>
      <c r="B13" s="2"/>
      <c r="C13" s="2"/>
      <c r="D13" s="2"/>
      <c r="E13" s="2"/>
      <c r="F13" s="2"/>
      <c r="G13" s="2"/>
      <c r="H13" s="2"/>
      <c r="I13" s="2"/>
      <c r="J13" s="2"/>
      <c r="K13" s="2"/>
      <c r="L13" s="2"/>
      <c r="M13" s="2"/>
      <c r="N13" s="2"/>
      <c r="O13" s="2"/>
      <c r="P13" s="2"/>
      <c r="Q13" s="2"/>
      <c r="R13" s="2"/>
      <c r="S13" s="2"/>
      <c r="T13" s="2"/>
      <c r="U13" s="2"/>
      <c r="V13" s="2"/>
    </row>
    <row r="14" spans="1:22" x14ac:dyDescent="0.3">
      <c r="A14" s="2"/>
      <c r="B14" s="2"/>
      <c r="C14" s="2"/>
      <c r="D14" s="2"/>
      <c r="E14" s="2"/>
      <c r="F14" s="2"/>
      <c r="G14" s="2"/>
      <c r="H14" s="2"/>
      <c r="I14" s="2"/>
      <c r="J14" s="2"/>
      <c r="K14" s="2"/>
      <c r="L14" s="2"/>
      <c r="M14" s="2"/>
      <c r="N14" s="2"/>
      <c r="O14" s="2"/>
      <c r="P14" s="2"/>
      <c r="Q14" s="2"/>
      <c r="R14" s="2"/>
      <c r="S14" s="2"/>
      <c r="T14" s="2"/>
      <c r="U14" s="2"/>
      <c r="V14" s="2"/>
    </row>
    <row r="15" spans="1:22" x14ac:dyDescent="0.3">
      <c r="A15" s="2"/>
      <c r="B15" s="2"/>
      <c r="C15" s="2"/>
      <c r="D15" s="2"/>
      <c r="E15" s="2"/>
      <c r="F15" s="2"/>
      <c r="G15" s="2"/>
      <c r="H15" s="2"/>
      <c r="I15" s="2"/>
      <c r="J15" s="2"/>
      <c r="K15" s="2"/>
      <c r="L15" s="2"/>
      <c r="M15" s="2"/>
      <c r="N15" s="2"/>
      <c r="O15" s="2"/>
      <c r="P15" s="2"/>
      <c r="Q15" s="2"/>
      <c r="R15" s="2"/>
      <c r="S15" s="2"/>
      <c r="T15" s="2"/>
      <c r="U15" s="2"/>
      <c r="V15" s="2"/>
    </row>
    <row r="16" spans="1:22" x14ac:dyDescent="0.3">
      <c r="A16" s="2"/>
      <c r="B16" s="2"/>
      <c r="C16" s="2"/>
      <c r="D16" s="2"/>
      <c r="E16" s="2"/>
      <c r="F16" s="2"/>
      <c r="G16" s="2"/>
      <c r="H16" s="2"/>
      <c r="I16" s="2"/>
      <c r="J16" s="2"/>
      <c r="K16" s="2"/>
      <c r="L16" s="2"/>
      <c r="M16" s="2"/>
      <c r="N16" s="2"/>
      <c r="O16" s="2"/>
      <c r="P16" s="2"/>
      <c r="Q16" s="2"/>
      <c r="R16" s="2"/>
      <c r="S16" s="2"/>
      <c r="T16" s="2"/>
      <c r="U16" s="2"/>
      <c r="V16" s="2"/>
    </row>
    <row r="17" spans="1:22" x14ac:dyDescent="0.3">
      <c r="A17" s="2"/>
      <c r="B17" s="2"/>
      <c r="C17" s="2"/>
      <c r="D17" s="2"/>
      <c r="E17" s="2"/>
      <c r="F17" s="2"/>
      <c r="G17" s="2"/>
      <c r="H17" s="2"/>
      <c r="I17" s="2"/>
      <c r="J17" s="2"/>
      <c r="K17" s="2"/>
      <c r="L17" s="2"/>
      <c r="M17" s="2"/>
      <c r="N17" s="2"/>
      <c r="O17" s="2"/>
      <c r="P17" s="2"/>
      <c r="Q17" s="2"/>
      <c r="R17" s="2"/>
      <c r="S17" s="2"/>
      <c r="T17" s="2"/>
      <c r="U17" s="2"/>
      <c r="V17" s="2"/>
    </row>
    <row r="18" spans="1:22" x14ac:dyDescent="0.3">
      <c r="A18" s="2"/>
      <c r="B18" s="2"/>
      <c r="C18" s="2"/>
      <c r="D18" s="2"/>
      <c r="E18" s="2"/>
      <c r="F18" s="2"/>
      <c r="G18" s="2"/>
      <c r="H18" s="2"/>
      <c r="I18" s="2"/>
      <c r="J18" s="2"/>
      <c r="K18" s="2"/>
      <c r="L18" s="2"/>
      <c r="M18" s="2"/>
      <c r="N18" s="2"/>
      <c r="O18" s="2"/>
      <c r="P18" s="2"/>
      <c r="Q18" s="2"/>
      <c r="R18" s="2"/>
      <c r="S18" s="2"/>
      <c r="T18" s="2"/>
      <c r="U18" s="2"/>
      <c r="V18" s="2"/>
    </row>
    <row r="19" spans="1:22" x14ac:dyDescent="0.3">
      <c r="A19" s="2"/>
      <c r="B19" s="2"/>
      <c r="C19" s="2"/>
      <c r="D19" s="2"/>
      <c r="E19" s="2"/>
      <c r="F19" s="2"/>
      <c r="G19" s="2"/>
      <c r="H19" s="2"/>
      <c r="I19" s="2"/>
      <c r="J19" s="2"/>
      <c r="K19" s="2"/>
      <c r="L19" s="2"/>
      <c r="M19" s="2"/>
      <c r="N19" s="2"/>
      <c r="O19" s="2"/>
      <c r="P19" s="2"/>
      <c r="Q19" s="2"/>
      <c r="R19" s="2"/>
      <c r="S19" s="2"/>
      <c r="T19" s="2"/>
      <c r="U19" s="2"/>
      <c r="V19" s="2"/>
    </row>
    <row r="20" spans="1:22" x14ac:dyDescent="0.3">
      <c r="A20" s="2"/>
      <c r="B20" s="2"/>
      <c r="C20" s="2"/>
      <c r="D20" s="2"/>
      <c r="E20" s="2"/>
      <c r="F20" s="2"/>
      <c r="G20" s="2"/>
      <c r="H20" s="2"/>
      <c r="I20" s="2"/>
      <c r="J20" s="2"/>
      <c r="K20" s="2"/>
      <c r="L20" s="2"/>
      <c r="M20" s="2"/>
      <c r="N20" s="2"/>
      <c r="O20" s="2"/>
      <c r="P20" s="2"/>
      <c r="Q20" s="2"/>
      <c r="R20" s="2"/>
      <c r="S20" s="2"/>
      <c r="T20" s="2"/>
      <c r="U20" s="2"/>
      <c r="V20" s="2"/>
    </row>
    <row r="21" spans="1:22" x14ac:dyDescent="0.3">
      <c r="A21" s="2"/>
      <c r="B21" s="2"/>
      <c r="C21" s="2"/>
      <c r="D21" s="2"/>
      <c r="E21" s="2"/>
      <c r="F21" s="2"/>
      <c r="G21" s="2"/>
      <c r="H21" s="2"/>
      <c r="I21" s="2"/>
      <c r="J21" s="2"/>
      <c r="K21" s="2"/>
      <c r="L21" s="2"/>
      <c r="M21" s="2"/>
      <c r="N21" s="2"/>
      <c r="O21" s="2"/>
      <c r="P21" s="2"/>
      <c r="Q21" s="2"/>
      <c r="R21" s="2"/>
      <c r="S21" s="2"/>
      <c r="T21" s="2"/>
      <c r="U21" s="2"/>
      <c r="V21" s="2"/>
    </row>
    <row r="22" spans="1:22" x14ac:dyDescent="0.3">
      <c r="A22" s="2"/>
      <c r="B22" s="2"/>
      <c r="C22" s="2"/>
      <c r="D22" s="2"/>
      <c r="E22" s="2"/>
      <c r="F22" s="2"/>
      <c r="G22" s="2"/>
      <c r="H22" s="2"/>
      <c r="I22" s="2"/>
      <c r="J22" s="2"/>
      <c r="K22" s="2"/>
      <c r="L22" s="2"/>
      <c r="M22" s="2"/>
      <c r="N22" s="2"/>
      <c r="O22" s="2"/>
      <c r="P22" s="2"/>
      <c r="Q22" s="2"/>
      <c r="R22" s="2"/>
      <c r="S22" s="2"/>
      <c r="T22" s="2"/>
      <c r="U22" s="2"/>
      <c r="V22" s="2"/>
    </row>
    <row r="23" spans="1:22" x14ac:dyDescent="0.3">
      <c r="A23" s="2"/>
      <c r="B23" s="2"/>
      <c r="C23" s="2"/>
      <c r="D23" s="2"/>
      <c r="E23" s="2"/>
      <c r="F23" s="2"/>
      <c r="G23" s="2"/>
      <c r="H23" s="2"/>
      <c r="I23" s="2"/>
      <c r="J23" s="2"/>
      <c r="K23" s="2"/>
      <c r="L23" s="2"/>
      <c r="M23" s="2"/>
      <c r="N23" s="2"/>
      <c r="O23" s="2"/>
      <c r="P23" s="2"/>
      <c r="Q23" s="2"/>
      <c r="R23" s="2"/>
      <c r="S23" s="2"/>
      <c r="T23" s="2"/>
      <c r="U23" s="2"/>
      <c r="V23" s="2"/>
    </row>
    <row r="24" spans="1:22" x14ac:dyDescent="0.3">
      <c r="A24" s="2"/>
      <c r="B24" s="2"/>
      <c r="C24" s="2"/>
      <c r="D24" s="2"/>
      <c r="E24" s="2"/>
      <c r="F24" s="2"/>
      <c r="G24" s="2"/>
      <c r="H24" s="2"/>
      <c r="I24" s="2"/>
      <c r="J24" s="2"/>
      <c r="K24" s="2"/>
      <c r="L24" s="2"/>
      <c r="M24" s="2"/>
      <c r="N24" s="2"/>
      <c r="O24" s="2"/>
      <c r="P24" s="2"/>
      <c r="Q24" s="2"/>
      <c r="R24" s="2"/>
      <c r="S24" s="2"/>
      <c r="T24" s="2"/>
      <c r="U24" s="2"/>
      <c r="V24" s="2"/>
    </row>
    <row r="25" spans="1:22" x14ac:dyDescent="0.3">
      <c r="A25" s="2"/>
      <c r="B25" s="2"/>
      <c r="C25" s="2"/>
      <c r="D25" s="2"/>
      <c r="E25" s="2"/>
      <c r="F25" s="2"/>
      <c r="G25" s="2"/>
      <c r="H25" s="2"/>
      <c r="I25" s="2"/>
      <c r="J25" s="2"/>
      <c r="K25" s="2"/>
      <c r="L25" s="2"/>
      <c r="M25" s="2"/>
      <c r="N25" s="2"/>
      <c r="O25" s="2"/>
      <c r="P25" s="2"/>
      <c r="Q25" s="2"/>
      <c r="R25" s="2"/>
      <c r="S25" s="2"/>
      <c r="T25" s="2"/>
      <c r="U25" s="2"/>
      <c r="V25" s="2"/>
    </row>
    <row r="26" spans="1:22" x14ac:dyDescent="0.3">
      <c r="A26" s="2"/>
      <c r="B26" s="2"/>
      <c r="C26" s="2"/>
      <c r="D26" s="2"/>
      <c r="E26" s="2"/>
      <c r="F26" s="2"/>
      <c r="G26" s="2"/>
      <c r="H26" s="2"/>
      <c r="I26" s="2"/>
      <c r="J26" s="2"/>
      <c r="K26" s="2"/>
      <c r="L26" s="2"/>
      <c r="M26" s="2"/>
      <c r="N26" s="2"/>
      <c r="O26" s="2"/>
      <c r="P26" s="2"/>
      <c r="Q26" s="2"/>
      <c r="R26" s="2"/>
      <c r="S26" s="2"/>
      <c r="T26" s="2"/>
      <c r="U26" s="2"/>
      <c r="V26" s="2"/>
    </row>
    <row r="27" spans="1:22" x14ac:dyDescent="0.3">
      <c r="A27" s="2"/>
      <c r="B27" s="2"/>
      <c r="C27" s="2"/>
      <c r="D27" s="2"/>
      <c r="E27" s="2"/>
      <c r="F27" s="2"/>
      <c r="G27" s="2"/>
      <c r="H27" s="2"/>
      <c r="I27" s="2"/>
      <c r="J27" s="2"/>
      <c r="K27" s="2"/>
      <c r="L27" s="2"/>
      <c r="M27" s="2"/>
      <c r="N27" s="2"/>
      <c r="O27" s="2"/>
      <c r="P27" s="2"/>
      <c r="Q27" s="2"/>
      <c r="R27" s="2"/>
      <c r="S27" s="2"/>
      <c r="T27" s="2"/>
      <c r="U27" s="2"/>
      <c r="V27" s="2"/>
    </row>
    <row r="28" spans="1:22" x14ac:dyDescent="0.3">
      <c r="A28" s="2"/>
      <c r="B28" s="2"/>
      <c r="C28" s="2"/>
      <c r="D28" s="2"/>
      <c r="E28" s="2"/>
      <c r="F28" s="2"/>
      <c r="G28" s="2"/>
      <c r="H28" s="2"/>
      <c r="I28" s="2"/>
      <c r="J28" s="2"/>
      <c r="K28" s="2"/>
      <c r="L28" s="2"/>
      <c r="M28" s="2"/>
      <c r="N28" s="2"/>
      <c r="O28" s="2"/>
      <c r="P28" s="2"/>
      <c r="Q28" s="2"/>
      <c r="R28" s="2"/>
      <c r="S28" s="2"/>
      <c r="T28" s="2"/>
      <c r="U28" s="2"/>
      <c r="V28" s="2"/>
    </row>
    <row r="29" spans="1:22" x14ac:dyDescent="0.3">
      <c r="A29" s="2"/>
      <c r="B29" s="2"/>
      <c r="C29" s="2"/>
      <c r="D29" s="2"/>
      <c r="E29" s="2"/>
      <c r="F29" s="2"/>
      <c r="G29" s="2"/>
      <c r="H29" s="2"/>
      <c r="I29" s="2"/>
      <c r="J29" s="2"/>
      <c r="K29" s="2"/>
      <c r="L29" s="2"/>
      <c r="M29" s="2"/>
      <c r="N29" s="2"/>
      <c r="O29" s="2"/>
      <c r="P29" s="2"/>
      <c r="Q29" s="2"/>
      <c r="R29" s="2"/>
      <c r="S29" s="2"/>
      <c r="T29" s="2"/>
      <c r="U29" s="2"/>
      <c r="V29" s="2"/>
    </row>
    <row r="30" spans="1:22" x14ac:dyDescent="0.3">
      <c r="A30" s="2"/>
      <c r="B30" s="2"/>
      <c r="C30" s="2"/>
      <c r="D30" s="2"/>
      <c r="E30" s="2"/>
      <c r="F30" s="2"/>
      <c r="G30" s="2"/>
      <c r="H30" s="2"/>
      <c r="I30" s="2"/>
      <c r="J30" s="2"/>
      <c r="K30" s="2"/>
      <c r="L30" s="2"/>
      <c r="M30" s="2"/>
      <c r="N30" s="2"/>
      <c r="O30" s="2"/>
      <c r="P30" s="2"/>
      <c r="Q30" s="2"/>
      <c r="R30" s="2"/>
      <c r="S30" s="2"/>
      <c r="T30" s="2"/>
      <c r="U30" s="2"/>
      <c r="V30" s="2"/>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79D22-209A-4CBD-9D5B-2822A11B8776}">
  <dimension ref="A1"/>
  <sheetViews>
    <sheetView workbookViewId="0"/>
  </sheetViews>
  <sheetFormatPr defaultRowHeight="14.4" x14ac:dyDescent="0.3"/>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B5939BE7-7CBB-4393-AD85-5057EDB6F8C6}">
  <ds:schemaRefs/>
</ds:datastoreItem>
</file>

<file path=customXml/itemProps2.xml><?xml version="1.0" encoding="utf-8"?>
<ds:datastoreItem xmlns:ds="http://schemas.openxmlformats.org/officeDocument/2006/customXml" ds:itemID="{D692F81F-4D71-4A18-A62C-BA94EFD0D036}">
  <ds:schemaRefs/>
</ds:datastoreItem>
</file>

<file path=customXml/itemProps3.xml><?xml version="1.0" encoding="utf-8"?>
<ds:datastoreItem xmlns:ds="http://schemas.openxmlformats.org/officeDocument/2006/customXml" ds:itemID="{E13C9BAD-00E0-456A-9BCC-436BB3A51DFD}">
  <ds:schemaRefs/>
</ds:datastoreItem>
</file>

<file path=customXml/itemProps4.xml><?xml version="1.0" encoding="utf-8"?>
<ds:datastoreItem xmlns:ds="http://schemas.openxmlformats.org/officeDocument/2006/customXml" ds:itemID="{CA156E31-AA15-4DE5-906A-EF40A05D682B}">
  <ds:schemaRefs/>
</ds:datastoreItem>
</file>

<file path=customXml/itemProps5.xml><?xml version="1.0" encoding="utf-8"?>
<ds:datastoreItem xmlns:ds="http://schemas.openxmlformats.org/officeDocument/2006/customXml" ds:itemID="{BBBD42FA-A2A1-4C94-B336-E8042F84B01C}">
  <ds:schemaRefs/>
</ds:datastoreItem>
</file>

<file path=customXml/itemProps6.xml><?xml version="1.0" encoding="utf-8"?>
<ds:datastoreItem xmlns:ds="http://schemas.openxmlformats.org/officeDocument/2006/customXml" ds:itemID="{0FBCC33D-2695-46CC-9241-A4F442983270}">
  <ds:schemaRefs/>
</ds:datastoreItem>
</file>

<file path=customXml/itemProps7.xml><?xml version="1.0" encoding="utf-8"?>
<ds:datastoreItem xmlns:ds="http://schemas.openxmlformats.org/officeDocument/2006/customXml" ds:itemID="{B57BA4DA-D275-483A-AC3B-64AEA22CEF1F}">
  <ds:schemaRefs/>
</ds:datastoreItem>
</file>

<file path=customXml/itemProps8.xml><?xml version="1.0" encoding="utf-8"?>
<ds:datastoreItem xmlns:ds="http://schemas.openxmlformats.org/officeDocument/2006/customXml" ds:itemID="{29BDCA32-286C-4E41-9DF9-5A1359FA1B9B}">
  <ds:schemaRefs/>
</ds:datastoreItem>
</file>

<file path=customXml/itemProps9.xml><?xml version="1.0" encoding="utf-8"?>
<ds:datastoreItem xmlns:ds="http://schemas.openxmlformats.org/officeDocument/2006/customXml" ds:itemID="{61D763E9-13A6-4D0F-9C0F-1187CD619CC4}">
  <ds:schemaRefs/>
</ds:datastoreItem>
</file>

<file path=customXml/itemProps10.xml><?xml version="1.0" encoding="utf-8"?>
<ds:datastoreItem xmlns:ds="http://schemas.openxmlformats.org/officeDocument/2006/customXml" ds:itemID="{F9D11A46-315F-43FE-A909-B3ABCAD36C02}">
  <ds:schemaRefs/>
</ds:datastoreItem>
</file>

<file path=customXml/itemProps11.xml><?xml version="1.0" encoding="utf-8"?>
<ds:datastoreItem xmlns:ds="http://schemas.openxmlformats.org/officeDocument/2006/customXml" ds:itemID="{ABF7C5DE-2F94-40FB-9E8D-6DA3C90D6768}">
  <ds:schemaRefs/>
</ds:datastoreItem>
</file>

<file path=customXml/itemProps12.xml><?xml version="1.0" encoding="utf-8"?>
<ds:datastoreItem xmlns:ds="http://schemas.openxmlformats.org/officeDocument/2006/customXml" ds:itemID="{A2A0DB7C-F932-4425-8600-1F14350CF6C0}">
  <ds:schemaRefs/>
</ds:datastoreItem>
</file>

<file path=customXml/itemProps13.xml><?xml version="1.0" encoding="utf-8"?>
<ds:datastoreItem xmlns:ds="http://schemas.openxmlformats.org/officeDocument/2006/customXml" ds:itemID="{1DEDC3AB-3C66-4C9D-8244-9C10EAE143C5}">
  <ds:schemaRefs/>
</ds:datastoreItem>
</file>

<file path=customXml/itemProps14.xml><?xml version="1.0" encoding="utf-8"?>
<ds:datastoreItem xmlns:ds="http://schemas.openxmlformats.org/officeDocument/2006/customXml" ds:itemID="{63B55973-BE0E-4CBC-9653-150D782C06F7}">
  <ds:schemaRefs/>
</ds:datastoreItem>
</file>

<file path=customXml/itemProps15.xml><?xml version="1.0" encoding="utf-8"?>
<ds:datastoreItem xmlns:ds="http://schemas.openxmlformats.org/officeDocument/2006/customXml" ds:itemID="{FA1956BB-A38C-4C2C-9A61-A4AC1DDD7C9D}">
  <ds:schemaRefs/>
</ds:datastoreItem>
</file>

<file path=customXml/itemProps16.xml><?xml version="1.0" encoding="utf-8"?>
<ds:datastoreItem xmlns:ds="http://schemas.openxmlformats.org/officeDocument/2006/customXml" ds:itemID="{E55FA708-1A5A-42AF-990D-3E965DDF637C}">
  <ds:schemaRefs>
    <ds:schemaRef ds:uri="http://schemas.microsoft.com/DataMashup"/>
  </ds:schemaRefs>
</ds:datastoreItem>
</file>

<file path=customXml/itemProps17.xml><?xml version="1.0" encoding="utf-8"?>
<ds:datastoreItem xmlns:ds="http://schemas.openxmlformats.org/officeDocument/2006/customXml" ds:itemID="{FDC21C1F-B4FA-4B23-9F50-1DF27FACECA4}">
  <ds:schemaRefs/>
</ds:datastoreItem>
</file>

<file path=customXml/itemProps18.xml><?xml version="1.0" encoding="utf-8"?>
<ds:datastoreItem xmlns:ds="http://schemas.openxmlformats.org/officeDocument/2006/customXml" ds:itemID="{715454D2-BD8D-4258-A4AE-B7AC0F25814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report</vt:lpstr>
      <vt:lpstr>dhashbord sheet</vt:lpstr>
      <vt:lpstr>chart_details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dravidmchauhan@outlook.com</dc:creator>
  <cp:lastModifiedBy>dravidmchauhan@outlook.com</cp:lastModifiedBy>
  <dcterms:created xsi:type="dcterms:W3CDTF">2026-08-26T15:45:40Z</dcterms:created>
  <dcterms:modified xsi:type="dcterms:W3CDTF">2026-09-08T14:16:00Z</dcterms:modified>
</cp:coreProperties>
</file>